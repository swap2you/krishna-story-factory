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ory Matrix" sheetId="1" state="visible" r:id="rId3"/>
    <sheet name="API Matrix" sheetId="2" state="visible" r:id="rId4"/>
    <sheet name="Defect Log" sheetId="3" state="visible" r:id="rId5"/>
    <sheet name="Global &amp; Security" sheetId="4" state="visible" r:id="rId6"/>
    <sheet name="Verdict" sheetId="5" state="visible" r:id="rId7"/>
    <sheet name="Limita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<sst xmlns="http://schemas.openxmlformats.org/spreadsheetml/2006/main" count="963" uniqueCount="390">
  <si>
    <t xml:space="preserve">Story</t>
  </si>
  <si>
    <t xml:space="preserve">Title</t>
  </si>
  <si>
    <t xml:space="preserve">Library</t>
  </si>
  <si>
    <t xml:space="preserve">Listen</t>
  </si>
  <si>
    <t xml:space="preserve">Read</t>
  </si>
  <si>
    <t xml:space="preserve">Activities</t>
  </si>
  <si>
    <t xml:space="preserve">PDF render</t>
  </si>
  <si>
    <t xml:space="preserve">Coloring</t>
  </si>
  <si>
    <t xml:space="preserve">Source</t>
  </si>
  <si>
    <t xml:space="preserve">Ślokas</t>
  </si>
  <si>
    <t xml:space="preserve">Notes</t>
  </si>
  <si>
    <t xml:space="preserve">Navigation</t>
  </si>
  <si>
    <t xml:space="preserve">Desktop</t>
  </si>
  <si>
    <t xml:space="preserve">Mobile</t>
  </si>
  <si>
    <t xml:space="preserve">Accessibility</t>
  </si>
  <si>
    <t xml:space="preserve">Result</t>
  </si>
  <si>
    <t xml:space="preserve">Defect severity</t>
  </si>
  <si>
    <t xml:space="preserve">Screenshot / evidence</t>
  </si>
  <si>
    <t xml:space="preserve">001</t>
  </si>
  <si>
    <t xml:space="preserve">The Earth Prays for Krishna to Come</t>
  </si>
  <si>
    <t xml:space="preserve">PASS – no., title, poster, age 6-12, in sequence</t>
  </si>
  <si>
    <t xml:space="preserve">PASS – 8/8 controls, 206 range, pitch preserved, rec. pace 1×</t>
  </si>
  <si>
    <t xml:space="preserve">PASS – 9 sections</t>
  </si>
  <si>
    <t xml:space="preserve">PASS – PDF.js, 3 pages, next/prev, zoom, fit-width, keys, full tab, download, print</t>
  </si>
  <si>
    <t xml:space="preserve">PASS – 4.47% ink coverage, not blank</t>
  </si>
  <si>
    <t xml:space="preserve">PASS – 3/3 images, labels + alt OK</t>
  </si>
  <si>
    <t xml:space="preserve">PARTIAL – KB ch.1 only; no SB companion link</t>
  </si>
  <si>
    <t xml:space="preserve">FAIL – panel renders no reference / link / child explanation (none (not_applicable))</t>
  </si>
  <si>
    <t xml:space="preserve">PASS – autosave, reload persist, export, clear, 0 network calls</t>
  </si>
  <si>
    <t xml:space="preserve">PASS – no prev (first)</t>
  </si>
  <si>
    <t xml:space="preserve">PASS – no horizontal overflow</t>
  </si>
  <si>
    <t xml:space="preserve">NOT VERIFIED – see Limitations</t>
  </si>
  <si>
    <t xml:space="preserve">PARTIAL – alt text + labels OK; tab ARIA + waveform keys missing</t>
  </si>
  <si>
    <t xml:space="preserve">FAIL</t>
  </si>
  <si>
    <t xml:space="preserve">P1</t>
  </si>
  <si>
    <t xml:space="preserve">screenshot-story001-shell.jpg; screenshot-story001-slokas.jpg; posters_contact_sheet.png; coloring_contact_sheet.png; api_matrix sheet</t>
  </si>
  <si>
    <t xml:space="preserve">002</t>
  </si>
  <si>
    <t xml:space="preserve">The Wedding and the Heavenly Voice</t>
  </si>
  <si>
    <t xml:space="preserve">PASS – PDF.js, 4 pages, next/prev, zoom, fit-width, keys, full tab, download, print</t>
  </si>
  <si>
    <t xml:space="preserve">PASS – 3.20% ink coverage, not blank</t>
  </si>
  <si>
    <t xml:space="preserve">PASS – KB ch.1 + SB, author, reviewed, permissions, Vedabase OK</t>
  </si>
  <si>
    <t xml:space="preserve">FAIL – panel renders no reference / link / child explanation (verse range SB 10.1.27–55)</t>
  </si>
  <si>
    <t xml:space="preserve">PASS – prev+next</t>
  </si>
  <si>
    <t xml:space="preserve">posters_contact_sheet.png; coloring_contact_sheet.png; api_matrix sheet</t>
  </si>
  <si>
    <t xml:space="preserve">003</t>
  </si>
  <si>
    <t xml:space="preserve">Vasudeva Keeps His Word</t>
  </si>
  <si>
    <t xml:space="preserve">PASS – 3.47% ink coverage, not blank</t>
  </si>
  <si>
    <t xml:space="preserve">FAIL – panel renders no reference / link / child explanation (verse range SB 10.1.56–61)</t>
  </si>
  <si>
    <t xml:space="preserve">004</t>
  </si>
  <si>
    <t xml:space="preserve">Narada’s Warning and Kamsa’s Decision</t>
  </si>
  <si>
    <t xml:space="preserve">PASS – 3.73% ink coverage, not blank</t>
  </si>
  <si>
    <t xml:space="preserve">FAIL – panel renders no reference / link / child explanation (verse range SB 10.1.62–69)</t>
  </si>
  <si>
    <t xml:space="preserve">005</t>
  </si>
  <si>
    <t xml:space="preserve">Prayers by the Demigods for Lord Krishna in the Womb</t>
  </si>
  <si>
    <t xml:space="preserve">PASS – 4.05% ink coverage, not blank</t>
  </si>
  <si>
    <t xml:space="preserve">PARTIAL – KB ch.2 only; no SB companion link</t>
  </si>
  <si>
    <t xml:space="preserve">006</t>
  </si>
  <si>
    <t xml:space="preserve">The Birth of Lord Krishna</t>
  </si>
  <si>
    <t xml:space="preserve">PASS – 4.00% ink coverage, not blank</t>
  </si>
  <si>
    <t xml:space="preserve">PARTIAL – KB ch.3 only; no SB companion link</t>
  </si>
  <si>
    <t xml:space="preserve">007</t>
  </si>
  <si>
    <t xml:space="preserve">Kamsa Begins His Persecutions</t>
  </si>
  <si>
    <t xml:space="preserve">PASS – 4.16% ink coverage, not blank</t>
  </si>
  <si>
    <t xml:space="preserve">PASS – KB ch.4 + SB, author, reviewed, permissions, Vedabase OK</t>
  </si>
  <si>
    <t xml:space="preserve">FAIL – panel renders no reference / link / child explanation (chapter-only SB 10.4)</t>
  </si>
  <si>
    <t xml:space="preserve">008</t>
  </si>
  <si>
    <t xml:space="preserve">The Meeting of Nanda and Vasudeva</t>
  </si>
  <si>
    <t xml:space="preserve">PASS – 5.00% ink coverage, not blank</t>
  </si>
  <si>
    <t xml:space="preserve">PASS – KB ch.5 + SB, author, reviewed, permissions, Vedabase OK</t>
  </si>
  <si>
    <t xml:space="preserve">FAIL – panel renders no reference / link / child explanation (chapter-only SB 10.5)</t>
  </si>
  <si>
    <t xml:space="preserve">009</t>
  </si>
  <si>
    <t xml:space="preserve">Pūtanā — Kṛṣṇa’s Astonishing Mercy</t>
  </si>
  <si>
    <t xml:space="preserve">PASS – 3.95% ink coverage, not blank</t>
  </si>
  <si>
    <t xml:space="preserve">PASS – KB ch.6 + SB, author, reviewed, permissions, Vedabase OK</t>
  </si>
  <si>
    <t xml:space="preserve">FAIL – panel renders no reference / link / child explanation (chapter-only SB 10.6)</t>
  </si>
  <si>
    <t xml:space="preserve">010</t>
  </si>
  <si>
    <t xml:space="preserve">Baby Kṛṣṇa Breaks the Cart</t>
  </si>
  <si>
    <t xml:space="preserve">FAIL – Rights &amp; Credits missing</t>
  </si>
  <si>
    <t xml:space="preserve">PASS – PDF.js, 2 pages, next/prev, zoom, fit-width, keys, full tab, download, print</t>
  </si>
  <si>
    <t xml:space="preserve">PASS – 4.81% ink coverage, not blank</t>
  </si>
  <si>
    <t xml:space="preserve">PASS – KB ch.7 + SB, author, reviewed, permissions, Vedabase OK</t>
  </si>
  <si>
    <t xml:space="preserve">FAIL – panel renders no reference / link / child explanation (chapter-only SB 10.7)</t>
  </si>
  <si>
    <t xml:space="preserve">011</t>
  </si>
  <si>
    <t xml:space="preserve">The Salvation of Tṛṇāvarta</t>
  </si>
  <si>
    <t xml:space="preserve">PASS – 8/8 controls, 206 range, pitch preserved, rec. pace 0.75×</t>
  </si>
  <si>
    <t xml:space="preserve">PASS – 4.21% ink coverage, not blank</t>
  </si>
  <si>
    <t xml:space="preserve">012</t>
  </si>
  <si>
    <t xml:space="preserve">Yaśodā Sees the Universe While Kṛṣṇa Yawns</t>
  </si>
  <si>
    <t xml:space="preserve">PASS – 4.96% ink coverage, not blank</t>
  </si>
  <si>
    <t xml:space="preserve">013</t>
  </si>
  <si>
    <t xml:space="preserve">Garga Muni Names Kṛṣṇa and Balarāma</t>
  </si>
  <si>
    <t xml:space="preserve">PASS – 4.24% ink coverage, not blank</t>
  </si>
  <si>
    <t xml:space="preserve">PASS – KB ch.8 + SB, author, reviewed, permissions, Vedabase OK</t>
  </si>
  <si>
    <t xml:space="preserve">FAIL – panel renders no reference / link / child explanation (chapter-only SB 10.8)</t>
  </si>
  <si>
    <t xml:space="preserve">014</t>
  </si>
  <si>
    <t xml:space="preserve">Kṛṣṇa and Balarāma’s Crawling Adventures</t>
  </si>
  <si>
    <t xml:space="preserve">PASS – 5.11% ink coverage, not blank</t>
  </si>
  <si>
    <t xml:space="preserve">015</t>
  </si>
  <si>
    <t xml:space="preserve">The Gopīs Complain About Butter Theft</t>
  </si>
  <si>
    <t xml:space="preserve">016</t>
  </si>
  <si>
    <t xml:space="preserve">Kṛṣṇa Eats Dirt and Reveals the Universe</t>
  </si>
  <si>
    <t xml:space="preserve">PASS – 4.99% ink coverage, not blank</t>
  </si>
  <si>
    <t xml:space="preserve">017</t>
  </si>
  <si>
    <t xml:space="preserve">Mother Yasoda Binds Lord Krishna</t>
  </si>
  <si>
    <t xml:space="preserve">PASS – 4.43% ink coverage, not blank</t>
  </si>
  <si>
    <t xml:space="preserve">PASS – KB ch.9 + SB, author, reviewed, permissions, Vedabase OK</t>
  </si>
  <si>
    <t xml:space="preserve">FAIL – panel renders no reference / link / child explanation (chapter-only SB 10.9)</t>
  </si>
  <si>
    <t xml:space="preserve">018</t>
  </si>
  <si>
    <t xml:space="preserve">The Deliverance of Nalakuvara and Manigriva</t>
  </si>
  <si>
    <t xml:space="preserve">PASS – 5.05% ink coverage, not blank</t>
  </si>
  <si>
    <t xml:space="preserve">PASS – KB ch.10 + SB, author, reviewed, permissions, Vedabase OK</t>
  </si>
  <si>
    <t xml:space="preserve">FAIL – panel renders no reference / link / child explanation (chapter-only SB 10.10)</t>
  </si>
  <si>
    <t xml:space="preserve">019</t>
  </si>
  <si>
    <t xml:space="preserve">Krishna Protects the Calves from Vatsasura and Bakasura</t>
  </si>
  <si>
    <t xml:space="preserve">PASS – 4.69% ink coverage, not blank</t>
  </si>
  <si>
    <t xml:space="preserve">PASS – KB ch.11 + SB, author, reviewed, permissions, Vedabase OK</t>
  </si>
  <si>
    <t xml:space="preserve">FAIL – panel renders no reference / link / child explanation (chapter-only SB 10.11)</t>
  </si>
  <si>
    <t xml:space="preserve">screenshot-story019-player.jpg; posters_contact_sheet.png; coloring_contact_sheet.png; api_matrix sheet</t>
  </si>
  <si>
    <t xml:space="preserve">020</t>
  </si>
  <si>
    <t xml:space="preserve">Krishna Protects Everyone from the Aghasura Demon</t>
  </si>
  <si>
    <t xml:space="preserve">PASS – 5.20% ink coverage, not blank</t>
  </si>
  <si>
    <t xml:space="preserve">PASS – KB ch.12 + SB, author, reviewed, permissions, Vedabase OK</t>
  </si>
  <si>
    <t xml:space="preserve">FAIL – panel renders no reference / link / child explanation (chapter-only SB 10.12)</t>
  </si>
  <si>
    <t xml:space="preserve">PASS – no next (021 absent)</t>
  </si>
  <si>
    <t xml:space="preserve">/reader</t>
  </si>
  <si>
    <t xml:space="preserve">/reader.txt</t>
  </si>
  <si>
    <t xml:space="preserve">/source-links</t>
  </si>
  <si>
    <t xml:space="preserve">/shlokas</t>
  </si>
  <si>
    <t xml:space="preserve">/reflections</t>
  </si>
  <si>
    <t xml:space="preserve">/sync</t>
  </si>
  <si>
    <t xml:space="preserve">/waveform</t>
  </si>
  <si>
    <t xml:space="preserve">/web-manifest</t>
  </si>
  <si>
    <t xml:space="preserve">narration Range → 206</t>
  </si>
  <si>
    <t xml:space="preserve">activity PDF content-type</t>
  </si>
  <si>
    <t xml:space="preserve">Payload note</t>
  </si>
  <si>
    <t xml:space="preserve">200</t>
  </si>
  <si>
    <t xml:space="preserve">206 bytes 100-2099/*</t>
  </si>
  <si>
    <t xml:space="preserve">200 application/pdf</t>
  </si>
  <si>
    <t xml:space="preserve">source-links: no Śrīmad-Bhāgavatam companion entry; sync: cues=0, status=needs_alignment; web-manifest: rights populated (incl. contact_email)</t>
  </si>
  <si>
    <t xml:space="preserve">sync: cues=0, status=needs_alignment; web-manifest: rights populated (incl. contact_email)</t>
  </si>
  <si>
    <t xml:space="preserve">sync: cues=0, status=needs_alignment; web-manifest: rights{} empty</t>
  </si>
  <si>
    <t xml:space="preserve">TOTAL</t>
  </si>
  <si>
    <t xml:space="preserve">of 20 stories</t>
  </si>
  <si>
    <t xml:space="preserve">ID</t>
  </si>
  <si>
    <t xml:space="preserve">Severity</t>
  </si>
  <si>
    <t xml:space="preserve">Area</t>
  </si>
  <si>
    <t xml:space="preserve">Stories affected</t>
  </si>
  <si>
    <t xml:space="preserve">Defect</t>
  </si>
  <si>
    <t xml:space="preserve">Evidence</t>
  </si>
  <si>
    <t xml:space="preserve">Root cause / location</t>
  </si>
  <si>
    <t xml:space="preserve">Suggested fix</t>
  </si>
  <si>
    <t xml:space="preserve">D-01</t>
  </si>
  <si>
    <t xml:space="preserve">Ślokas tab</t>
  </si>
  <si>
    <t xml:space="preserve">001–020 (20/20)</t>
  </si>
  <si>
    <t xml:space="preserve">The Ślokas panel renders no verse reference, no Vedabase link and no child explanation on any story. After "Reveal stubs" it shows only "Transliteration: — / Word-for-word: — / Translation: —". Curated, reviewed data returned by the API is silently discarded.</t>
  </si>
  <si>
    <t xml:space="preserve">GET /api/v1/stories/020/shlokas returns {shlokas:[{reference:"SB 10.12 — Aghāsura", url:"https://vedabase.io/en/library/sb/10/12/", child_explanation:"…"}]} while the rendered panel shows only em-dashes. screenshot-story001-slokas.jpg</t>
  </si>
  <si>
    <t xml:space="preserve">apps/web/components/story-experience.tsx ≈ L826-853 — the verse map renders only sanskrit / transliteration / word_for_word / translation; reference, url and child_explanation are never read.</t>
  </si>
  <si>
    <t xml:space="preserve">Render verse.reference as the panel heading, verse.child_explanation as body copy, and verse.url as a "Read on Vedabase" link. Keep the em-dash stubs only for the Sanskrit fields that are genuinely absent.</t>
  </si>
  <si>
    <t xml:space="preserve">D-02</t>
  </si>
  <si>
    <t xml:space="preserve">P2</t>
  </si>
  <si>
    <t xml:space="preserve">Rights / copyright metadata</t>
  </si>
  <si>
    <t xml:space="preserve">010–020 (11/20)</t>
  </si>
  <si>
    <t xml:space="preserve">Rights and copyright metadata regressed in the v2 batch: story.md and the Read tab have no "Rights and Credits" section, web_manifest.rights is an empty object, and the coloring pages carry no copyright footer. Stories 001–009 have all three.</t>
  </si>
  <si>
    <t xml:space="preserve">grep "^## Rights and Credits" → 1 for 001-009, 0 for 010-020. web_manifest.json rights has 43 keys for 001/009, 0 keys for 010/020. coloring_contact_sheet.png shows the footer strip only on 001-009.</t>
  </si>
  <si>
    <t xml:space="preserve">Content pipeline for the 010-020 generation batch — rights dossier not emitted into story.md / web_manifest.json / coloring render.</t>
  </si>
  <si>
    <t xml:space="preserve">Re-emit the rights dossier for 010-020 and add a build gate that fails the publish check when web_manifest.rights is empty or the Rights and Credits section is absent.</t>
  </si>
  <si>
    <t xml:space="preserve">D-03</t>
  </si>
  <si>
    <t xml:space="preserve">Source tab</t>
  </si>
  <si>
    <t xml:space="preserve">001, 005, 006</t>
  </si>
  <si>
    <t xml:space="preserve">No Śrīmad-Bhāgavatam companion reference. The Source tab shows only the Krishna Book chapter, although story.md for 001 explicitly cites "Śrīmad-Bhāgavatam Tenth Canto, early Chapter 1 summary". 17 of 20 stories do carry an SB entry.</t>
  </si>
  <si>
    <t xml:space="preserve">data/web-assets/{001,005,006}/source_links.json contain no entry with label "Companion scripture".</t>
  </si>
  <si>
    <t xml:space="preserve">source_links.json authoring gap for these three stories.</t>
  </si>
  <si>
    <t xml:space="preserve">Add the Companion scripture entry (SB 10.1 for 001, SB 10.2 for 005, SB 10.3 for 006) with the Vedabase URL.</t>
  </si>
  <si>
    <t xml:space="preserve">D-04</t>
  </si>
  <si>
    <t xml:space="preserve">Ślokas provenance</t>
  </si>
  <si>
    <t xml:space="preserve">The panel displays the badge "REVIEWED" even though shlokas.json declares review_status "not_applicable" and reference "No separate verse selected for this bedtime adaptation". The label overstates the review state.</t>
  </si>
  <si>
    <t xml:space="preserve">shlokas.json review_status = not_applicable; UI eyebrow reads "Reviewed".</t>
  </si>
  <si>
    <t xml:space="preserve">apps/web/components/story-experience.tsx ≈ L820-824 — the badge only tests shlokaPayload.status === "pending" and array length, never the per-verse review_status.</t>
  </si>
  <si>
    <t xml:space="preserve">Show "Not applicable for this adaptation" when review_status is not_applicable, and reserve "Reviewed" for curated verses.</t>
  </si>
  <si>
    <t xml:space="preserve">D-05</t>
  </si>
  <si>
    <t xml:space="preserve">Ślokas granularity</t>
  </si>
  <si>
    <t xml:space="preserve">007–020 (14/20)</t>
  </si>
  <si>
    <t xml:space="preserve">References are chapter-level only (SB 10.4 … SB 10.12) rather than exact verses. Stories 002–004 do carry exact ranges, so the catalogue is internally inconsistent. Flagged per the UAT brief.</t>
  </si>
  <si>
    <t xml:space="preserve">shlokas.json reference field, stories 007-020.</t>
  </si>
  <si>
    <t xml:space="preserve">Curation depth, not a code defect.</t>
  </si>
  <si>
    <t xml:space="preserve">Narrow to exact verse ranges (e.g. SB 10.12.13-16 for Aghāsura) in a follow-up curation pass.</t>
  </si>
  <si>
    <t xml:space="preserve">D-06</t>
  </si>
  <si>
    <t xml:space="preserve">Story shell</t>
  </si>
  <si>
    <t xml:space="preserve">The internal factory quality-gate value is printed to public users as a green "PASS" chip beside the story title. This is production/QA metadata, not reader-facing content.</t>
  </si>
  <si>
    <t xml:space="preserve">screenshot-story001-shell.jpg (top-right "PASS"). DOM: span.status-chip.</t>
  </si>
  <si>
    <t xml:space="preserve">apps/web/app/stories/[storyNo]/page.tsx L156 — &lt;span className="status-chip"&gt;{story.quality_status ?? "Published"}&lt;/span&gt;</t>
  </si>
  <si>
    <t xml:space="preserve">Render a reader-facing label ("Published") or drop the chip in public mode; keep quality_status for Studio only.</t>
  </si>
  <si>
    <t xml:space="preserve">D-07</t>
  </si>
  <si>
    <t xml:space="preserve">Accessibility — tabs</t>
  </si>
  <si>
    <t xml:space="preserve">The 7 story tabs use role="tab" inside role="tablist" but have no aria-controls, no id/aria-labelledby on the panel, and Arrow keys do not move focus between tabs. Tabs are reachable with Tab and activate with Enter, so content is not blocked, but the ARIA tabs pattern is incomplete.</t>
  </si>
  <si>
    <t xml:space="preserve">DOM audit: 0 of 7 tabs expose aria-controls; ArrowRight on the focused tab leaves activeElement unchanged.</t>
  </si>
  <si>
    <t xml:space="preserve">apps/web/components/story-experience.tsx — tablist implementation.</t>
  </si>
  <si>
    <t xml:space="preserve">Add id / aria-controls / aria-labelledby wiring and roving tabindex with Arrow, Home and End key handling.</t>
  </si>
  <si>
    <t xml:space="preserve">D-08</t>
  </si>
  <si>
    <t xml:space="preserve">Accessibility — audio seek</t>
  </si>
  <si>
    <t xml:space="preserve">Timeline seeking works by clicking the waveform, but the waveform is a &lt;canvas role="img"&gt; with no tabindex and no slider semantics, so seeking is mouse-only and invisible to assistive technology.</t>
  </si>
  <si>
    <t xml:space="preserve">canvas.waveform-canvas: onclick present, cursor:pointer, role="img", tabindex null. Click at 50% moved currentTime to 137.4s of 273.7s — seeking itself works.</t>
  </si>
  <si>
    <t xml:space="preserve">apps/web/components/audio-player.tsx — waveform canvas.</t>
  </si>
  <si>
    <t xml:space="preserve">Add role="slider", tabindex="0", aria-valuemin/max/now/text and Arrow/Home/End key handling, or place a visually-hidden range input over the waveform.</t>
  </si>
  <si>
    <t xml:space="preserve">D-09</t>
  </si>
  <si>
    <t xml:space="preserve">Follow-along sync</t>
  </si>
  <si>
    <t xml:space="preserve">/sync returns {method:"none", confidence:0, cues:[], status:"needs_alignment"} for every story, so read-along highlighting is unavailable catalogue-wide. The UI states this honestly ("Follow-along cues pending review"), so it is a declared gap rather than a broken feature.</t>
  </si>
  <si>
    <t xml:space="preserve">data/web-assets/*/sync.json — cues length 0 for all 20.</t>
  </si>
  <si>
    <t xml:space="preserve">Forced-alignment step not run for this content batch.</t>
  </si>
  <si>
    <t xml:space="preserve">Either run alignment for 001-020 or keep the honest banner and drop the sync endpoint from the release acceptance criteria.</t>
  </si>
  <si>
    <t xml:space="preserve">D-10</t>
  </si>
  <si>
    <t xml:space="preserve">Content — illustration match</t>
  </si>
  <si>
    <t xml:space="preserve">The poster and both coloring pages for "Pūtanā — Kṛṣṇa’s Astonishing Mercy" depict baby Kṛṣṇa in a peaceful garden with gopīs and a dog. The named pastime (Pūtanā) is not depicted. This reads as a deliberate child-safe substitution, but the brief requires the image to match the specific pastime.</t>
  </si>
  <si>
    <t xml:space="preserve">posters_contact_sheet.png and coloring_contact_sheet.png, tile 009.</t>
  </si>
  <si>
    <t xml:space="preserve">Art direction choice for a sensitive pastime.</t>
  </si>
  <si>
    <t xml:space="preserve">Confirm the substitution is intentional and, if so, record it as an approved exception; otherwise re-render a child-safe depiction that still shows Pūtanā.</t>
  </si>
  <si>
    <t xml:space="preserve">D-11</t>
  </si>
  <si>
    <t xml:space="preserve">Privacy — API payload</t>
  </si>
  <si>
    <t xml:space="preserve">001–009 (9/20)</t>
  </si>
  <si>
    <t xml:space="preserve">The public /web-manifest endpoint exposes a personal contact email address (contact_email) inside the rights dossier. Stories 010-020 do not (because rights is empty), so the exposure is also inconsistent.</t>
  </si>
  <si>
    <t xml:space="preserve">GET /api/v1/stories/001/web-manifest → rights.contact_email present.</t>
  </si>
  <si>
    <t xml:space="preserve">Rights dossier serialised verbatim into the public manifest.</t>
  </si>
  <si>
    <t xml:space="preserve">Strip contact_email (and any other personal fields) from the public projection, or replace it with a role address.</t>
  </si>
  <si>
    <t xml:space="preserve">D-12</t>
  </si>
  <si>
    <t xml:space="preserve">P3</t>
  </si>
  <si>
    <t xml:space="preserve">Poster typography</t>
  </si>
  <si>
    <t xml:space="preserve">019 (clipping); 001–006, 008 (scale)</t>
  </si>
  <si>
    <t xml:space="preserve">The baked-in title on the 019 poster overflows its band — the second line "and Bakasura" is clipped by the artwork. Stories 001-006 and 008 use a tiny caption-sized title in a full-height band, while 007 and 009-020 use a large title, so the poster set is typographically inconsistent.</t>
  </si>
  <si>
    <t xml:space="preserve">poster_headers.png — top crop of 019, 020, 001, 002.</t>
  </si>
  <si>
    <t xml:space="preserve">Poster title renderer: no auto-fit / no shared type scale.</t>
  </si>
  <si>
    <t xml:space="preserve">Auto-fit the title to the band height and apply one type scale across the whole poster set.</t>
  </si>
  <si>
    <t xml:space="preserve">D-13</t>
  </si>
  <si>
    <t xml:space="preserve">PDF viewer</t>
  </si>
  <si>
    <t xml:space="preserve">The "Fit width" button rescales the page correctly (canvas 459px → 1075px) but the zoom percentage readout keeps the previous value (stays "75%"), so the displayed zoom no longer matches the rendering.</t>
  </si>
  <si>
    <t xml:space="preserve">Story 019 Activities: zoom out x2 → "75% cw=459"; Fit width → "75% cw=1075".</t>
  </si>
  <si>
    <t xml:space="preserve">apps/web PdfJsViewer — fit-width path does not update the zoom state used by the label.</t>
  </si>
  <si>
    <t xml:space="preserve">Derive the label from the effective scale, or set the zoom state when fit-width is applied.</t>
  </si>
  <si>
    <t xml:space="preserve">D-14</t>
  </si>
  <si>
    <t xml:space="preserve">Transliteration consistency</t>
  </si>
  <si>
    <t xml:space="preserve">004, 006, 007, 017–020</t>
  </si>
  <si>
    <t xml:space="preserve">Diacritics are applied inconsistently across the catalogue: 009-016 use full IAST (Pūtanā, Kṛṣṇa, Tṛṇāvarta, Yaśodā) while 017-020 and several early stories use bare ASCII (Yasoda, Nalakuvara, Vatsasura, Aghasura, Kamsa) in titles, PDFs and posters.</t>
  </si>
  <si>
    <t xml:space="preserve">Library card titles; activity_sheet.pdf page-1 text extraction.</t>
  </si>
  <si>
    <t xml:space="preserve">Content authoring, mixed across generation batches.</t>
  </si>
  <si>
    <t xml:space="preserve">Normalise titles and headings to one transliteration standard and regenerate the affected posters and activity sheets.</t>
  </si>
  <si>
    <t xml:space="preserve">D-15</t>
  </si>
  <si>
    <t xml:space="preserve">robots.txt</t>
  </si>
  <si>
    <t xml:space="preserve">site-wide</t>
  </si>
  <si>
    <t xml:space="preserve">robots.txt disallows /studio, /dev, /api/studio, /api/v1/factory, /api/v1/scheduler, /api/v1/queue and /stories/021, but not /api/v1/local/*, which is reachable and returns operational state.</t>
  </si>
  <si>
    <t xml:space="preserve">GET /robots.txt; GET /api/v1/local/status → 200.</t>
  </si>
  <si>
    <t xml:space="preserve">apps/web robots route.</t>
  </si>
  <si>
    <t xml:space="preserve">Add Disallow: /api/v1/local to robots.txt for completeness (the loopback + CSRF guards remain the real control).</t>
  </si>
  <si>
    <t xml:space="preserve">Check</t>
  </si>
  <si>
    <t xml:space="preserve">Expected</t>
  </si>
  <si>
    <t xml:space="preserve">Observed</t>
  </si>
  <si>
    <t xml:space="preserve">Note</t>
  </si>
  <si>
    <t xml:space="preserve">Home /</t>
  </si>
  <si>
    <t xml:space="preserve">200 + H1</t>
  </si>
  <si>
    <t xml:space="preserve">200, H1 "Timeless devotion for growing hearts and minds."</t>
  </si>
  <si>
    <t xml:space="preserve">PASS</t>
  </si>
  <si>
    <t xml:space="preserve">Library /library</t>
  </si>
  <si>
    <t xml:space="preserve">200, H1 present</t>
  </si>
  <si>
    <t xml:space="preserve">Krishna Book /library/krishna-book</t>
  </si>
  <si>
    <t xml:space="preserve">20 cards 001-020</t>
  </si>
  <si>
    <t xml:space="preserve">20 cards, correct sequence, unique titles, all posters loaded, age "For 6-12", alt text on every image</t>
  </si>
  <si>
    <t xml:space="preserve">No 021 card</t>
  </si>
  <si>
    <t xml:space="preserve">Learning dropdown</t>
  </si>
  <si>
    <t xml:space="preserve">button + 5 items</t>
  </si>
  <si>
    <t xml:space="preserve">aria-haspopup=true, aria-expanded toggles, Escape closes; Children &amp; Youth, Sunday School, For Teachers, For Preachers, Printables</t>
  </si>
  <si>
    <t xml:space="preserve">Children &amp; Youth /learning/children-youth</t>
  </si>
  <si>
    <t xml:space="preserve">200, H1 "Children &amp; Youth"</t>
  </si>
  <si>
    <t xml:space="preserve">Sunday School /sunday-school</t>
  </si>
  <si>
    <t xml:space="preserve">For Teachers /teachers</t>
  </si>
  <si>
    <t xml:space="preserve">For Preachers /preachers</t>
  </si>
  <si>
    <t xml:space="preserve">Printables /printables</t>
  </si>
  <si>
    <t xml:space="preserve">Knowledge /knowledge</t>
  </si>
  <si>
    <t xml:space="preserve">200, H1 "Bhāva Knowledge Library"</t>
  </si>
  <si>
    <t xml:space="preserve">Prabhupāda Vāṇī /prabhupada-vani</t>
  </si>
  <si>
    <t xml:space="preserve">/vani and /vanani redirect here (301)</t>
  </si>
  <si>
    <t xml:space="preserve">About /about</t>
  </si>
  <si>
    <t xml:space="preserve">Contact /contact</t>
  </si>
  <si>
    <t xml:space="preserve">FAQ /faq</t>
  </si>
  <si>
    <t xml:space="preserve">Footer links</t>
  </si>
  <si>
    <t xml:space="preserve">all resolve</t>
  </si>
  <si>
    <t xml:space="preserve">Privacy, Rights (Copyright &amp; Permissions), Sources &amp; Permissions, Editorial Standards, Accessibility — all 200</t>
  </si>
  <si>
    <t xml:space="preserve">/blog legacy redirect</t>
  </si>
  <si>
    <t xml:space="preserve">301 → /knowledge</t>
  </si>
  <si>
    <t xml:space="preserve">200 after redirect to /knowledge</t>
  </si>
  <si>
    <t xml:space="preserve">sitemap.xml</t>
  </si>
  <si>
    <t xml:space="preserve">no private URLs</t>
  </si>
  <si>
    <t xml:space="preserve">63 URLs; stories 001-020 only; no 021, no /studio, no /dev</t>
  </si>
  <si>
    <t xml:space="preserve">private paths disallowed</t>
  </si>
  <si>
    <t xml:space="preserve">Disallows /studio, /dev, /api/studio, /api/v1/factory, /api/v1/scheduler, /api/v1/queue, /work, /staging, /output/_archive, /stories/021</t>
  </si>
  <si>
    <t xml:space="preserve">/api/v1/local not listed — D-15</t>
  </si>
  <si>
    <t xml:space="preserve">Desktop navigation</t>
  </si>
  <si>
    <t xml:space="preserve">usable</t>
  </si>
  <si>
    <t xml:space="preserve">Sticky header, all links keyboard reachable, focus outline solid 2px</t>
  </si>
  <si>
    <t xml:space="preserve">Mobile navigation</t>
  </si>
  <si>
    <t xml:space="preserve">hamburger works</t>
  </si>
  <si>
    <t xml:space="preserve">Menu button present with aria-expanded; opening reveals 7 links</t>
  </si>
  <si>
    <t xml:space="preserve">Toggle verified; small-viewport layout NOT verified — see Limitations</t>
  </si>
  <si>
    <t xml:space="preserve">Horizontal overflow</t>
  </si>
  <si>
    <t xml:space="preserve">none</t>
  </si>
  <si>
    <t xml:space="preserve">documentElement.scrollWidth == clientWidth on home, library and story pages at 1905px</t>
  </si>
  <si>
    <t xml:space="preserve">Not verified at &lt;=640px</t>
  </si>
  <si>
    <t xml:space="preserve">Reduced motion</t>
  </si>
  <si>
    <t xml:space="preserve">honoured</t>
  </si>
  <si>
    <t xml:space="preserve">2 @media (prefers-reduced-motion: reduce) blocks (app/globals.css:498, packages/ui/src/styles.css:157)</t>
  </si>
  <si>
    <t xml:space="preserve">Rules present; not exercised with the OS flag on</t>
  </si>
  <si>
    <t xml:space="preserve">Skip link</t>
  </si>
  <si>
    <t xml:space="preserve">present</t>
  </si>
  <si>
    <t xml:space="preserve">"Skip to content" link present</t>
  </si>
  <si>
    <t xml:space="preserve">SEC /stories/021</t>
  </si>
  <si>
    <t xml:space="preserve">404</t>
  </si>
  <si>
    <t xml:space="preserve">Private story not reachable</t>
  </si>
  <si>
    <t xml:space="preserve">SEC /studio</t>
  </si>
  <si>
    <t xml:space="preserve">404 in public mode</t>
  </si>
  <si>
    <t xml:space="preserve">200 — instance is running in LOCAL mode</t>
  </si>
  <si>
    <t xml:space="preserve">NOT VERIFIED</t>
  </si>
  <si>
    <t xml:space="preserve">BHAVA_PUBLIC_SITE not set and NODE_ENV != production, so isPublicSite() is false and the private-prefix gate is intentionally off. Re-run with BHAVA_PUBLIC_SITE=1.</t>
  </si>
  <si>
    <t xml:space="preserve">SEC /dev</t>
  </si>
  <si>
    <t xml:space="preserve">200 — local mode</t>
  </si>
  <si>
    <t xml:space="preserve">Same as above</t>
  </si>
  <si>
    <t xml:space="preserve">SEC /api/v1/factory</t>
  </si>
  <si>
    <t xml:space="preserve">unavailable</t>
  </si>
  <si>
    <t xml:space="preserve">No such route exists in the OpenAPI surface</t>
  </si>
  <si>
    <t xml:space="preserve">SEC /api/v1/scheduler</t>
  </si>
  <si>
    <t xml:space="preserve">No such route exists</t>
  </si>
  <si>
    <t xml:space="preserve">SEC /api/v1/queue</t>
  </si>
  <si>
    <t xml:space="preserve">SEC /api/studio/*</t>
  </si>
  <si>
    <t xml:space="preserve">SEC mutation APIs denied</t>
  </si>
  <si>
    <t xml:space="preserve">denied</t>
  </si>
  <si>
    <t xml:space="preserve">POST /api/v1/local/scheduler/enable → 403 {"detail":"CSRF token required"}; POST /api/v1/local/generate-next → 403</t>
  </si>
  <si>
    <t xml:space="preserve">No mutation was executed during this pass</t>
  </si>
  <si>
    <t xml:space="preserve">SEC operational endpoints</t>
  </si>
  <si>
    <t xml:space="preserve">not public</t>
  </si>
  <si>
    <t xml:space="preserve">/api/v1/local/status, /queue, /runs, /scheduler return 200 in local mode; status reports loopback_only=true, factory_actions_enabled=false</t>
  </si>
  <si>
    <t xml:space="preserve">Middleware does not list /api/v1/local in PRIVATE_PREFIXES — confirm it is covered in public mode</t>
  </si>
  <si>
    <t xml:space="preserve">SEC secrets exposure</t>
  </si>
  <si>
    <t xml:space="preserve">No API keys, tokens or passwords in any public payload. /api/v1/local/status returns a CSRF token (loopback-only endpoint).</t>
  </si>
  <si>
    <t xml:space="preserve">SEC filesystem paths</t>
  </si>
  <si>
    <t xml:space="preserve">No Windows or POSIX absolute paths in any story API payload or rendered page</t>
  </si>
  <si>
    <t xml:space="preserve">SEC security headers</t>
  </si>
  <si>
    <t xml:space="preserve">set</t>
  </si>
  <si>
    <t xml:space="preserve">X-Content-Type-Options, Referrer-Policy, X-Frame-Options: DENY, COOP, CORP, Permissions-Policy all set</t>
  </si>
  <si>
    <t xml:space="preserve">PARTIAL</t>
  </si>
  <si>
    <t xml:space="preserve">Content-Security-Policy absent — middleware only sets CSP in public mode</t>
  </si>
  <si>
    <t xml:space="preserve">Build under test</t>
  </si>
  <si>
    <t xml:space="preserve">Working tree de79223acaadc911f89c4080d4d1ff3c9ad745aa on release/bhava-001-020-quality-completion-v2</t>
  </si>
  <si>
    <t xml:space="preserve">Expected release</t>
  </si>
  <si>
    <t xml:space="preserve">develop SHA 7ac66ff28945b8d449429a61d6894b181aa151fb</t>
  </si>
  <si>
    <t xml:space="preserve">Build identity</t>
  </si>
  <si>
    <t xml:space="preserve">MATCH — de79223 is the second parent of merge commit 7ac66ff, i.e. the exact release-branch tree that was merged to develop.</t>
  </si>
  <si>
    <t xml:space="preserve">Content tag</t>
  </si>
  <si>
    <t xml:space="preserve">bhava-content-001-020-v2 → 0668f271cafb3278ed770d2bed9540d30d149b36 (ancestor of the tree under test)</t>
  </si>
  <si>
    <t xml:space="preserve">Web / API</t>
  </si>
  <si>
    <t xml:space="preserve">http://127.0.0.1:3000 and http://127.0.0.1:8000, both responding</t>
  </si>
  <si>
    <t xml:space="preserve">Site mode</t>
  </si>
  <si>
    <t xml:space="preserve">LOCAL (BHAVA_PUBLIC_SITE unset, NODE_ENV != production) — public-mode gating NOT exercised</t>
  </si>
  <si>
    <t xml:space="preserve">Stories tested</t>
  </si>
  <si>
    <t xml:space="preserve">001–020 (20 of 20), all 7 tabs each</t>
  </si>
  <si>
    <t xml:space="preserve">Code modified</t>
  </si>
  <si>
    <t xml:space="preserve">None. Read-only pass. No mutating API call was executed.</t>
  </si>
  <si>
    <t xml:space="preserve">P0 defects</t>
  </si>
  <si>
    <t xml:space="preserve">0</t>
  </si>
  <si>
    <t xml:space="preserve">P1 defects</t>
  </si>
  <si>
    <t xml:space="preserve">1  (D-01 — Ślokas panel renders no content on 20/20 stories)</t>
  </si>
  <si>
    <t xml:space="preserve">P2 defects</t>
  </si>
  <si>
    <t xml:space="preserve">10</t>
  </si>
  <si>
    <t xml:space="preserve">P3 defects</t>
  </si>
  <si>
    <t xml:space="preserve">4</t>
  </si>
  <si>
    <t xml:space="preserve">FINAL VERDICT</t>
  </si>
  <si>
    <t xml:space="preserve">FAIL — P1 remains</t>
  </si>
  <si>
    <t xml:space="preserve">Production approval</t>
  </si>
  <si>
    <t xml:space="preserve">NOT APPROVED</t>
  </si>
  <si>
    <t xml:space="preserve">Rationale</t>
  </si>
  <si>
    <t xml:space="preserve">Every story delivers its narration, full text, activity PDF, coloring set and source attribution, and all 200 API checks pass. The blocker is D-01: the Ślokas tab renders an empty stub on all twenty stories while the API returns curated, reviewed references, Vedabase links and child explanations. A shipped tab that shows nothing on 100% of the catalogue, and that discards content already reviewed by a named reviewer, is not a cosmetic gap. D-02 (rights and copyright metadata missing on 11 of 20 stories) is filed P2 because the Source tab still carries permissions language, but for BBT-derived material the release owner may reasonably treat it as blocking.</t>
  </si>
  <si>
    <t xml:space="preserve">Retest scope after fix</t>
  </si>
  <si>
    <t xml:space="preserve">D-01 on all 20 stories; D-02 rights regeneration for 010-020; then a public-mode pass with BHAVA_PUBLIC_SITE=1 to close the four NOT VERIFIED security rows; plus a real small-viewport mobile pass.</t>
  </si>
  <si>
    <t xml:space="preserve">Public-mode security gating</t>
  </si>
  <si>
    <t xml:space="preserve">The instance under test runs in LOCAL mode, where middleware.ts deliberately leaves /studio and /dev open. The four SEC rows marked NOT VERIFIED can only be closed by re-running against an instance started with BHAVA_PUBLIC_SITE=1. Middleware source was reviewed statically and does gate /studio, /dev, /api/studio, /api/v1/factory, /api/v1/scheduler and /api/v1/queue, and rejects non-GET /api/* with 405, when public mode is on.</t>
  </si>
  <si>
    <t xml:space="preserve">Mobile viewport</t>
  </si>
  <si>
    <t xml:space="preserve">The automation browser window could not be resized (innerWidth stayed 1920), so small-viewport layout was not rendered. Mobile navigation toggle behaviour and the presence of responsive breakpoints (640-960px) and reduced-motion rules were verified instead.</t>
  </si>
  <si>
    <t xml:space="preserve">Audio listening</t>
  </si>
  <si>
    <t xml:space="preserve">Playback state was verified programmatically and by clicking the real controls: play advances currentTime, +/-15s step correctly, waveform click seeks proportionally, volume applies, playbackRate honours the recommended pace, preservesPitch is true. Audio quality itself was not listened to.</t>
  </si>
  <si>
    <t xml:space="preserve">Print output</t>
  </si>
  <si>
    <t xml:space="preserve">"Open to print" and "Download PDF" were verified as present and correctly wired; no physical print was produced.</t>
  </si>
  <si>
    <t xml:space="preserve">Contrast</t>
  </si>
  <si>
    <t xml:space="preserve">Focus outline and the status chip palette were spot-checked; no full WCAG contrast sweep was run.</t>
  </si>
  <si>
    <t xml:space="preserve">Export file</t>
  </si>
  <si>
    <t xml:space="preserve">The Notes Export button was verified to exist and be wired to a Blob download; the downloaded file itself was not opened.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</si>
</sst>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1"/>
      <color rgb="FF9C0006"/>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AD3"/>
        <bgColor rgb="FFCCFFFF"/>
      </patternFill>
    </fill>
    <fill>
      <patternFill patternType="solid">
        <fgColor rgb="FFFFE699"/>
        <bgColor rgb="FFFFFFCC"/>
      </patternFill>
    </fill>
    <fill>
      <patternFill patternType="solid">
        <fgColor rgb="FFF4B8B8"/>
        <bgColor rgb="FFFF99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E699"/>
      <rgbColor rgb="FF99CCFF"/>
      <rgbColor rgb="FFFF99CC"/>
      <rgbColor rgb="FFCC99FF"/>
      <rgbColor rgb="FFF4B8B8"/>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3" min="3" style="0" width="16"/>
    <col collapsed="false" customWidth="true" hidden="false" outlineLevel="0" max="5" min="4" style="0" width="26"/>
    <col collapsed="false" customWidth="true" hidden="false" outlineLevel="0" max="6" min="6" style="0" width="22"/>
    <col collapsed="false" customWidth="true" hidden="false" outlineLevel="0" max="7" min="7" style="0" width="20"/>
    <col collapsed="false" customWidth="true" hidden="false" outlineLevel="0" max="8" min="8" style="0" width="14"/>
    <col collapsed="false" customWidth="true" hidden="false" outlineLevel="0" max="10" min="9" style="0" width="26"/>
    <col collapsed="false" customWidth="true" hidden="false" outlineLevel="0" max="11" min="11" style="0" width="16"/>
    <col collapsed="false" customWidth="true" hidden="false" outlineLevel="0" max="12" min="12" style="0" width="20"/>
    <col collapsed="false" customWidth="true" hidden="false" outlineLevel="0" max="13" min="13" style="0" width="12"/>
    <col collapsed="false" customWidth="true" hidden="false" outlineLevel="0" max="14" min="14" style="0" width="16"/>
    <col collapsed="false" customWidth="true" hidden="false" outlineLevel="0" max="15" min="15" style="0" width="22"/>
    <col collapsed="false" customWidth="true" hidden="false" outlineLevel="0" max="16" min="16" style="0" width="10"/>
    <col collapsed="false" customWidth="true" hidden="false" outlineLevel="0" max="17" min="17" style="0" width="14"/>
    <col collapsed="false" customWidth="true" hidden="false" outlineLevel="0" max="18" min="18" style="0" width="40"/>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57.75" hidden="false" customHeight="true" outlineLevel="0" collapsed="false">
      <c r="A2" s="2" t="s">
        <v>18</v>
      </c>
      <c r="B2" s="3" t="s">
        <v>19</v>
      </c>
      <c r="C2" s="4" t="s">
        <v>20</v>
      </c>
      <c r="D2" s="4" t="s">
        <v>21</v>
      </c>
      <c r="E2" s="4" t="s">
        <v>22</v>
      </c>
      <c r="F2" s="4" t="s">
        <v>23</v>
      </c>
      <c r="G2" s="4" t="s">
        <v>24</v>
      </c>
      <c r="H2" s="4" t="s">
        <v>25</v>
      </c>
      <c r="I2" s="5" t="s">
        <v>26</v>
      </c>
      <c r="J2" s="6" t="s">
        <v>27</v>
      </c>
      <c r="K2" s="4" t="s">
        <v>28</v>
      </c>
      <c r="L2" s="4" t="s">
        <v>29</v>
      </c>
      <c r="M2" s="4" t="s">
        <v>30</v>
      </c>
      <c r="N2" s="5" t="s">
        <v>31</v>
      </c>
      <c r="O2" s="5" t="s">
        <v>32</v>
      </c>
      <c r="P2" s="6" t="s">
        <v>33</v>
      </c>
      <c r="Q2" s="3" t="s">
        <v>34</v>
      </c>
      <c r="R2" s="3" t="s">
        <v>35</v>
      </c>
    </row>
    <row r="3" customFormat="false" ht="57.75" hidden="false" customHeight="true" outlineLevel="0" collapsed="false">
      <c r="A3" s="2" t="s">
        <v>36</v>
      </c>
      <c r="B3" s="3" t="s">
        <v>37</v>
      </c>
      <c r="C3" s="4" t="s">
        <v>20</v>
      </c>
      <c r="D3" s="4" t="s">
        <v>21</v>
      </c>
      <c r="E3" s="4" t="s">
        <v>22</v>
      </c>
      <c r="F3" s="4" t="s">
        <v>38</v>
      </c>
      <c r="G3" s="4" t="s">
        <v>39</v>
      </c>
      <c r="H3" s="4" t="s">
        <v>25</v>
      </c>
      <c r="I3" s="4" t="s">
        <v>40</v>
      </c>
      <c r="J3" s="6" t="s">
        <v>41</v>
      </c>
      <c r="K3" s="4" t="s">
        <v>28</v>
      </c>
      <c r="L3" s="4" t="s">
        <v>42</v>
      </c>
      <c r="M3" s="4" t="s">
        <v>30</v>
      </c>
      <c r="N3" s="5" t="s">
        <v>31</v>
      </c>
      <c r="O3" s="5" t="s">
        <v>32</v>
      </c>
      <c r="P3" s="6" t="s">
        <v>33</v>
      </c>
      <c r="Q3" s="3" t="s">
        <v>34</v>
      </c>
      <c r="R3" s="3" t="s">
        <v>43</v>
      </c>
    </row>
    <row r="4" customFormat="false" ht="57.75" hidden="false" customHeight="true" outlineLevel="0" collapsed="false">
      <c r="A4" s="2" t="s">
        <v>44</v>
      </c>
      <c r="B4" s="3" t="s">
        <v>45</v>
      </c>
      <c r="C4" s="4" t="s">
        <v>20</v>
      </c>
      <c r="D4" s="4" t="s">
        <v>21</v>
      </c>
      <c r="E4" s="4" t="s">
        <v>22</v>
      </c>
      <c r="F4" s="4" t="s">
        <v>23</v>
      </c>
      <c r="G4" s="4" t="s">
        <v>46</v>
      </c>
      <c r="H4" s="4" t="s">
        <v>25</v>
      </c>
      <c r="I4" s="4" t="s">
        <v>40</v>
      </c>
      <c r="J4" s="6" t="s">
        <v>47</v>
      </c>
      <c r="K4" s="4" t="s">
        <v>28</v>
      </c>
      <c r="L4" s="4" t="s">
        <v>42</v>
      </c>
      <c r="M4" s="4" t="s">
        <v>30</v>
      </c>
      <c r="N4" s="5" t="s">
        <v>31</v>
      </c>
      <c r="O4" s="5" t="s">
        <v>32</v>
      </c>
      <c r="P4" s="6" t="s">
        <v>33</v>
      </c>
      <c r="Q4" s="3" t="s">
        <v>34</v>
      </c>
      <c r="R4" s="3" t="s">
        <v>43</v>
      </c>
    </row>
    <row r="5" customFormat="false" ht="57.75" hidden="false" customHeight="true" outlineLevel="0" collapsed="false">
      <c r="A5" s="2" t="s">
        <v>48</v>
      </c>
      <c r="B5" s="3" t="s">
        <v>49</v>
      </c>
      <c r="C5" s="4" t="s">
        <v>20</v>
      </c>
      <c r="D5" s="4" t="s">
        <v>21</v>
      </c>
      <c r="E5" s="4" t="s">
        <v>22</v>
      </c>
      <c r="F5" s="4" t="s">
        <v>38</v>
      </c>
      <c r="G5" s="4" t="s">
        <v>50</v>
      </c>
      <c r="H5" s="4" t="s">
        <v>25</v>
      </c>
      <c r="I5" s="4" t="s">
        <v>40</v>
      </c>
      <c r="J5" s="6" t="s">
        <v>51</v>
      </c>
      <c r="K5" s="4" t="s">
        <v>28</v>
      </c>
      <c r="L5" s="4" t="s">
        <v>42</v>
      </c>
      <c r="M5" s="4" t="s">
        <v>30</v>
      </c>
      <c r="N5" s="5" t="s">
        <v>31</v>
      </c>
      <c r="O5" s="5" t="s">
        <v>32</v>
      </c>
      <c r="P5" s="6" t="s">
        <v>33</v>
      </c>
      <c r="Q5" s="3" t="s">
        <v>34</v>
      </c>
      <c r="R5" s="3" t="s">
        <v>43</v>
      </c>
    </row>
    <row r="6" customFormat="false" ht="57.75" hidden="false" customHeight="true" outlineLevel="0" collapsed="false">
      <c r="A6" s="2" t="s">
        <v>52</v>
      </c>
      <c r="B6" s="3" t="s">
        <v>53</v>
      </c>
      <c r="C6" s="4" t="s">
        <v>20</v>
      </c>
      <c r="D6" s="4" t="s">
        <v>21</v>
      </c>
      <c r="E6" s="4" t="s">
        <v>22</v>
      </c>
      <c r="F6" s="4" t="s">
        <v>38</v>
      </c>
      <c r="G6" s="4" t="s">
        <v>54</v>
      </c>
      <c r="H6" s="4" t="s">
        <v>25</v>
      </c>
      <c r="I6" s="5" t="s">
        <v>55</v>
      </c>
      <c r="J6" s="6" t="s">
        <v>27</v>
      </c>
      <c r="K6" s="4" t="s">
        <v>28</v>
      </c>
      <c r="L6" s="4" t="s">
        <v>42</v>
      </c>
      <c r="M6" s="4" t="s">
        <v>30</v>
      </c>
      <c r="N6" s="5" t="s">
        <v>31</v>
      </c>
      <c r="O6" s="5" t="s">
        <v>32</v>
      </c>
      <c r="P6" s="6" t="s">
        <v>33</v>
      </c>
      <c r="Q6" s="3" t="s">
        <v>34</v>
      </c>
      <c r="R6" s="3" t="s">
        <v>43</v>
      </c>
    </row>
    <row r="7" customFormat="false" ht="57.75" hidden="false" customHeight="true" outlineLevel="0" collapsed="false">
      <c r="A7" s="2" t="s">
        <v>56</v>
      </c>
      <c r="B7" s="3" t="s">
        <v>57</v>
      </c>
      <c r="C7" s="4" t="s">
        <v>20</v>
      </c>
      <c r="D7" s="4" t="s">
        <v>21</v>
      </c>
      <c r="E7" s="4" t="s">
        <v>22</v>
      </c>
      <c r="F7" s="4" t="s">
        <v>38</v>
      </c>
      <c r="G7" s="4" t="s">
        <v>58</v>
      </c>
      <c r="H7" s="4" t="s">
        <v>25</v>
      </c>
      <c r="I7" s="5" t="s">
        <v>59</v>
      </c>
      <c r="J7" s="6" t="s">
        <v>27</v>
      </c>
      <c r="K7" s="4" t="s">
        <v>28</v>
      </c>
      <c r="L7" s="4" t="s">
        <v>42</v>
      </c>
      <c r="M7" s="4" t="s">
        <v>30</v>
      </c>
      <c r="N7" s="5" t="s">
        <v>31</v>
      </c>
      <c r="O7" s="5" t="s">
        <v>32</v>
      </c>
      <c r="P7" s="6" t="s">
        <v>33</v>
      </c>
      <c r="Q7" s="3" t="s">
        <v>34</v>
      </c>
      <c r="R7" s="3" t="s">
        <v>43</v>
      </c>
    </row>
    <row r="8" customFormat="false" ht="57.75" hidden="false" customHeight="true" outlineLevel="0" collapsed="false">
      <c r="A8" s="2" t="s">
        <v>60</v>
      </c>
      <c r="B8" s="3" t="s">
        <v>61</v>
      </c>
      <c r="C8" s="4" t="s">
        <v>20</v>
      </c>
      <c r="D8" s="4" t="s">
        <v>21</v>
      </c>
      <c r="E8" s="4" t="s">
        <v>22</v>
      </c>
      <c r="F8" s="4" t="s">
        <v>38</v>
      </c>
      <c r="G8" s="4" t="s">
        <v>62</v>
      </c>
      <c r="H8" s="4" t="s">
        <v>25</v>
      </c>
      <c r="I8" s="4" t="s">
        <v>63</v>
      </c>
      <c r="J8" s="6" t="s">
        <v>64</v>
      </c>
      <c r="K8" s="4" t="s">
        <v>28</v>
      </c>
      <c r="L8" s="4" t="s">
        <v>42</v>
      </c>
      <c r="M8" s="4" t="s">
        <v>30</v>
      </c>
      <c r="N8" s="5" t="s">
        <v>31</v>
      </c>
      <c r="O8" s="5" t="s">
        <v>32</v>
      </c>
      <c r="P8" s="6" t="s">
        <v>33</v>
      </c>
      <c r="Q8" s="3" t="s">
        <v>34</v>
      </c>
      <c r="R8" s="3" t="s">
        <v>43</v>
      </c>
    </row>
    <row r="9" customFormat="false" ht="57.75" hidden="false" customHeight="true" outlineLevel="0" collapsed="false">
      <c r="A9" s="2" t="s">
        <v>65</v>
      </c>
      <c r="B9" s="3" t="s">
        <v>66</v>
      </c>
      <c r="C9" s="4" t="s">
        <v>20</v>
      </c>
      <c r="D9" s="4" t="s">
        <v>21</v>
      </c>
      <c r="E9" s="4" t="s">
        <v>22</v>
      </c>
      <c r="F9" s="4" t="s">
        <v>23</v>
      </c>
      <c r="G9" s="4" t="s">
        <v>67</v>
      </c>
      <c r="H9" s="4" t="s">
        <v>25</v>
      </c>
      <c r="I9" s="4" t="s">
        <v>68</v>
      </c>
      <c r="J9" s="6" t="s">
        <v>69</v>
      </c>
      <c r="K9" s="4" t="s">
        <v>28</v>
      </c>
      <c r="L9" s="4" t="s">
        <v>42</v>
      </c>
      <c r="M9" s="4" t="s">
        <v>30</v>
      </c>
      <c r="N9" s="5" t="s">
        <v>31</v>
      </c>
      <c r="O9" s="5" t="s">
        <v>32</v>
      </c>
      <c r="P9" s="6" t="s">
        <v>33</v>
      </c>
      <c r="Q9" s="3" t="s">
        <v>34</v>
      </c>
      <c r="R9" s="3" t="s">
        <v>43</v>
      </c>
    </row>
    <row r="10" customFormat="false" ht="57.75" hidden="false" customHeight="true" outlineLevel="0" collapsed="false">
      <c r="A10" s="2" t="s">
        <v>70</v>
      </c>
      <c r="B10" s="3" t="s">
        <v>71</v>
      </c>
      <c r="C10" s="4" t="s">
        <v>20</v>
      </c>
      <c r="D10" s="4" t="s">
        <v>21</v>
      </c>
      <c r="E10" s="4" t="s">
        <v>22</v>
      </c>
      <c r="F10" s="4" t="s">
        <v>38</v>
      </c>
      <c r="G10" s="4" t="s">
        <v>72</v>
      </c>
      <c r="H10" s="4" t="s">
        <v>25</v>
      </c>
      <c r="I10" s="4" t="s">
        <v>73</v>
      </c>
      <c r="J10" s="6" t="s">
        <v>74</v>
      </c>
      <c r="K10" s="4" t="s">
        <v>28</v>
      </c>
      <c r="L10" s="4" t="s">
        <v>42</v>
      </c>
      <c r="M10" s="4" t="s">
        <v>30</v>
      </c>
      <c r="N10" s="5" t="s">
        <v>31</v>
      </c>
      <c r="O10" s="5" t="s">
        <v>32</v>
      </c>
      <c r="P10" s="6" t="s">
        <v>33</v>
      </c>
      <c r="Q10" s="3" t="s">
        <v>34</v>
      </c>
      <c r="R10" s="3" t="s">
        <v>43</v>
      </c>
    </row>
    <row r="11" customFormat="false" ht="57.75" hidden="false" customHeight="true" outlineLevel="0" collapsed="false">
      <c r="A11" s="2" t="s">
        <v>75</v>
      </c>
      <c r="B11" s="3" t="s">
        <v>76</v>
      </c>
      <c r="C11" s="4" t="s">
        <v>20</v>
      </c>
      <c r="D11" s="4" t="s">
        <v>21</v>
      </c>
      <c r="E11" s="6" t="s">
        <v>77</v>
      </c>
      <c r="F11" s="4" t="s">
        <v>78</v>
      </c>
      <c r="G11" s="4" t="s">
        <v>79</v>
      </c>
      <c r="H11" s="4" t="s">
        <v>25</v>
      </c>
      <c r="I11" s="4" t="s">
        <v>80</v>
      </c>
      <c r="J11" s="6" t="s">
        <v>81</v>
      </c>
      <c r="K11" s="4" t="s">
        <v>28</v>
      </c>
      <c r="L11" s="4" t="s">
        <v>42</v>
      </c>
      <c r="M11" s="4" t="s">
        <v>30</v>
      </c>
      <c r="N11" s="5" t="s">
        <v>31</v>
      </c>
      <c r="O11" s="5" t="s">
        <v>32</v>
      </c>
      <c r="P11" s="6" t="s">
        <v>33</v>
      </c>
      <c r="Q11" s="3" t="s">
        <v>34</v>
      </c>
      <c r="R11" s="3" t="s">
        <v>43</v>
      </c>
    </row>
    <row r="12" customFormat="false" ht="57.75" hidden="false" customHeight="true" outlineLevel="0" collapsed="false">
      <c r="A12" s="2" t="s">
        <v>82</v>
      </c>
      <c r="B12" s="3" t="s">
        <v>83</v>
      </c>
      <c r="C12" s="4" t="s">
        <v>20</v>
      </c>
      <c r="D12" s="4" t="s">
        <v>84</v>
      </c>
      <c r="E12" s="6" t="s">
        <v>77</v>
      </c>
      <c r="F12" s="4" t="s">
        <v>78</v>
      </c>
      <c r="G12" s="4" t="s">
        <v>85</v>
      </c>
      <c r="H12" s="4" t="s">
        <v>25</v>
      </c>
      <c r="I12" s="4" t="s">
        <v>80</v>
      </c>
      <c r="J12" s="6" t="s">
        <v>81</v>
      </c>
      <c r="K12" s="4" t="s">
        <v>28</v>
      </c>
      <c r="L12" s="4" t="s">
        <v>42</v>
      </c>
      <c r="M12" s="4" t="s">
        <v>30</v>
      </c>
      <c r="N12" s="5" t="s">
        <v>31</v>
      </c>
      <c r="O12" s="5" t="s">
        <v>32</v>
      </c>
      <c r="P12" s="6" t="s">
        <v>33</v>
      </c>
      <c r="Q12" s="3" t="s">
        <v>34</v>
      </c>
      <c r="R12" s="3" t="s">
        <v>43</v>
      </c>
    </row>
    <row r="13" customFormat="false" ht="57.75" hidden="false" customHeight="true" outlineLevel="0" collapsed="false">
      <c r="A13" s="2" t="s">
        <v>86</v>
      </c>
      <c r="B13" s="3" t="s">
        <v>87</v>
      </c>
      <c r="C13" s="4" t="s">
        <v>20</v>
      </c>
      <c r="D13" s="4" t="s">
        <v>21</v>
      </c>
      <c r="E13" s="6" t="s">
        <v>77</v>
      </c>
      <c r="F13" s="4" t="s">
        <v>78</v>
      </c>
      <c r="G13" s="4" t="s">
        <v>88</v>
      </c>
      <c r="H13" s="4" t="s">
        <v>25</v>
      </c>
      <c r="I13" s="4" t="s">
        <v>80</v>
      </c>
      <c r="J13" s="6" t="s">
        <v>81</v>
      </c>
      <c r="K13" s="4" t="s">
        <v>28</v>
      </c>
      <c r="L13" s="4" t="s">
        <v>42</v>
      </c>
      <c r="M13" s="4" t="s">
        <v>30</v>
      </c>
      <c r="N13" s="5" t="s">
        <v>31</v>
      </c>
      <c r="O13" s="5" t="s">
        <v>32</v>
      </c>
      <c r="P13" s="6" t="s">
        <v>33</v>
      </c>
      <c r="Q13" s="3" t="s">
        <v>34</v>
      </c>
      <c r="R13" s="3" t="s">
        <v>43</v>
      </c>
    </row>
    <row r="14" customFormat="false" ht="57.75" hidden="false" customHeight="true" outlineLevel="0" collapsed="false">
      <c r="A14" s="2" t="s">
        <v>89</v>
      </c>
      <c r="B14" s="3" t="s">
        <v>90</v>
      </c>
      <c r="C14" s="4" t="s">
        <v>20</v>
      </c>
      <c r="D14" s="4" t="s">
        <v>21</v>
      </c>
      <c r="E14" s="6" t="s">
        <v>77</v>
      </c>
      <c r="F14" s="4" t="s">
        <v>78</v>
      </c>
      <c r="G14" s="4" t="s">
        <v>91</v>
      </c>
      <c r="H14" s="4" t="s">
        <v>25</v>
      </c>
      <c r="I14" s="4" t="s">
        <v>92</v>
      </c>
      <c r="J14" s="6" t="s">
        <v>93</v>
      </c>
      <c r="K14" s="4" t="s">
        <v>28</v>
      </c>
      <c r="L14" s="4" t="s">
        <v>42</v>
      </c>
      <c r="M14" s="4" t="s">
        <v>30</v>
      </c>
      <c r="N14" s="5" t="s">
        <v>31</v>
      </c>
      <c r="O14" s="5" t="s">
        <v>32</v>
      </c>
      <c r="P14" s="6" t="s">
        <v>33</v>
      </c>
      <c r="Q14" s="3" t="s">
        <v>34</v>
      </c>
      <c r="R14" s="3" t="s">
        <v>43</v>
      </c>
    </row>
    <row r="15" customFormat="false" ht="57.75" hidden="false" customHeight="true" outlineLevel="0" collapsed="false">
      <c r="A15" s="2" t="s">
        <v>94</v>
      </c>
      <c r="B15" s="3" t="s">
        <v>95</v>
      </c>
      <c r="C15" s="4" t="s">
        <v>20</v>
      </c>
      <c r="D15" s="4" t="s">
        <v>84</v>
      </c>
      <c r="E15" s="6" t="s">
        <v>77</v>
      </c>
      <c r="F15" s="4" t="s">
        <v>78</v>
      </c>
      <c r="G15" s="4" t="s">
        <v>96</v>
      </c>
      <c r="H15" s="4" t="s">
        <v>25</v>
      </c>
      <c r="I15" s="4" t="s">
        <v>92</v>
      </c>
      <c r="J15" s="6" t="s">
        <v>93</v>
      </c>
      <c r="K15" s="4" t="s">
        <v>28</v>
      </c>
      <c r="L15" s="4" t="s">
        <v>42</v>
      </c>
      <c r="M15" s="4" t="s">
        <v>30</v>
      </c>
      <c r="N15" s="5" t="s">
        <v>31</v>
      </c>
      <c r="O15" s="5" t="s">
        <v>32</v>
      </c>
      <c r="P15" s="6" t="s">
        <v>33</v>
      </c>
      <c r="Q15" s="3" t="s">
        <v>34</v>
      </c>
      <c r="R15" s="3" t="s">
        <v>43</v>
      </c>
    </row>
    <row r="16" customFormat="false" ht="57.75" hidden="false" customHeight="true" outlineLevel="0" collapsed="false">
      <c r="A16" s="2" t="s">
        <v>97</v>
      </c>
      <c r="B16" s="3" t="s">
        <v>98</v>
      </c>
      <c r="C16" s="4" t="s">
        <v>20</v>
      </c>
      <c r="D16" s="4" t="s">
        <v>21</v>
      </c>
      <c r="E16" s="6" t="s">
        <v>77</v>
      </c>
      <c r="F16" s="4" t="s">
        <v>78</v>
      </c>
      <c r="G16" s="4" t="s">
        <v>54</v>
      </c>
      <c r="H16" s="4" t="s">
        <v>25</v>
      </c>
      <c r="I16" s="4" t="s">
        <v>92</v>
      </c>
      <c r="J16" s="6" t="s">
        <v>93</v>
      </c>
      <c r="K16" s="4" t="s">
        <v>28</v>
      </c>
      <c r="L16" s="4" t="s">
        <v>42</v>
      </c>
      <c r="M16" s="4" t="s">
        <v>30</v>
      </c>
      <c r="N16" s="5" t="s">
        <v>31</v>
      </c>
      <c r="O16" s="5" t="s">
        <v>32</v>
      </c>
      <c r="P16" s="6" t="s">
        <v>33</v>
      </c>
      <c r="Q16" s="3" t="s">
        <v>34</v>
      </c>
      <c r="R16" s="3" t="s">
        <v>43</v>
      </c>
    </row>
    <row r="17" customFormat="false" ht="57.75" hidden="false" customHeight="true" outlineLevel="0" collapsed="false">
      <c r="A17" s="2" t="s">
        <v>99</v>
      </c>
      <c r="B17" s="3" t="s">
        <v>100</v>
      </c>
      <c r="C17" s="4" t="s">
        <v>20</v>
      </c>
      <c r="D17" s="4" t="s">
        <v>84</v>
      </c>
      <c r="E17" s="6" t="s">
        <v>77</v>
      </c>
      <c r="F17" s="4" t="s">
        <v>78</v>
      </c>
      <c r="G17" s="4" t="s">
        <v>101</v>
      </c>
      <c r="H17" s="4" t="s">
        <v>25</v>
      </c>
      <c r="I17" s="4" t="s">
        <v>92</v>
      </c>
      <c r="J17" s="6" t="s">
        <v>93</v>
      </c>
      <c r="K17" s="4" t="s">
        <v>28</v>
      </c>
      <c r="L17" s="4" t="s">
        <v>42</v>
      </c>
      <c r="M17" s="4" t="s">
        <v>30</v>
      </c>
      <c r="N17" s="5" t="s">
        <v>31</v>
      </c>
      <c r="O17" s="5" t="s">
        <v>32</v>
      </c>
      <c r="P17" s="6" t="s">
        <v>33</v>
      </c>
      <c r="Q17" s="3" t="s">
        <v>34</v>
      </c>
      <c r="R17" s="3" t="s">
        <v>43</v>
      </c>
    </row>
    <row r="18" customFormat="false" ht="57.75" hidden="false" customHeight="true" outlineLevel="0" collapsed="false">
      <c r="A18" s="2" t="s">
        <v>102</v>
      </c>
      <c r="B18" s="3" t="s">
        <v>103</v>
      </c>
      <c r="C18" s="4" t="s">
        <v>20</v>
      </c>
      <c r="D18" s="4" t="s">
        <v>21</v>
      </c>
      <c r="E18" s="6" t="s">
        <v>77</v>
      </c>
      <c r="F18" s="4" t="s">
        <v>78</v>
      </c>
      <c r="G18" s="4" t="s">
        <v>104</v>
      </c>
      <c r="H18" s="4" t="s">
        <v>25</v>
      </c>
      <c r="I18" s="4" t="s">
        <v>105</v>
      </c>
      <c r="J18" s="6" t="s">
        <v>106</v>
      </c>
      <c r="K18" s="4" t="s">
        <v>28</v>
      </c>
      <c r="L18" s="4" t="s">
        <v>42</v>
      </c>
      <c r="M18" s="4" t="s">
        <v>30</v>
      </c>
      <c r="N18" s="5" t="s">
        <v>31</v>
      </c>
      <c r="O18" s="5" t="s">
        <v>32</v>
      </c>
      <c r="P18" s="6" t="s">
        <v>33</v>
      </c>
      <c r="Q18" s="3" t="s">
        <v>34</v>
      </c>
      <c r="R18" s="3" t="s">
        <v>43</v>
      </c>
    </row>
    <row r="19" customFormat="false" ht="57.75" hidden="false" customHeight="true" outlineLevel="0" collapsed="false">
      <c r="A19" s="2" t="s">
        <v>107</v>
      </c>
      <c r="B19" s="3" t="s">
        <v>108</v>
      </c>
      <c r="C19" s="4" t="s">
        <v>20</v>
      </c>
      <c r="D19" s="4" t="s">
        <v>84</v>
      </c>
      <c r="E19" s="6" t="s">
        <v>77</v>
      </c>
      <c r="F19" s="4" t="s">
        <v>78</v>
      </c>
      <c r="G19" s="4" t="s">
        <v>109</v>
      </c>
      <c r="H19" s="4" t="s">
        <v>25</v>
      </c>
      <c r="I19" s="4" t="s">
        <v>110</v>
      </c>
      <c r="J19" s="6" t="s">
        <v>111</v>
      </c>
      <c r="K19" s="4" t="s">
        <v>28</v>
      </c>
      <c r="L19" s="4" t="s">
        <v>42</v>
      </c>
      <c r="M19" s="4" t="s">
        <v>30</v>
      </c>
      <c r="N19" s="5" t="s">
        <v>31</v>
      </c>
      <c r="O19" s="5" t="s">
        <v>32</v>
      </c>
      <c r="P19" s="6" t="s">
        <v>33</v>
      </c>
      <c r="Q19" s="3" t="s">
        <v>34</v>
      </c>
      <c r="R19" s="3" t="s">
        <v>43</v>
      </c>
    </row>
    <row r="20" customFormat="false" ht="57.75" hidden="false" customHeight="true" outlineLevel="0" collapsed="false">
      <c r="A20" s="2" t="s">
        <v>112</v>
      </c>
      <c r="B20" s="3" t="s">
        <v>113</v>
      </c>
      <c r="C20" s="4" t="s">
        <v>20</v>
      </c>
      <c r="D20" s="4" t="s">
        <v>84</v>
      </c>
      <c r="E20" s="6" t="s">
        <v>77</v>
      </c>
      <c r="F20" s="4" t="s">
        <v>78</v>
      </c>
      <c r="G20" s="4" t="s">
        <v>114</v>
      </c>
      <c r="H20" s="4" t="s">
        <v>25</v>
      </c>
      <c r="I20" s="4" t="s">
        <v>115</v>
      </c>
      <c r="J20" s="6" t="s">
        <v>116</v>
      </c>
      <c r="K20" s="4" t="s">
        <v>28</v>
      </c>
      <c r="L20" s="4" t="s">
        <v>42</v>
      </c>
      <c r="M20" s="4" t="s">
        <v>30</v>
      </c>
      <c r="N20" s="5" t="s">
        <v>31</v>
      </c>
      <c r="O20" s="5" t="s">
        <v>32</v>
      </c>
      <c r="P20" s="6" t="s">
        <v>33</v>
      </c>
      <c r="Q20" s="3" t="s">
        <v>34</v>
      </c>
      <c r="R20" s="3" t="s">
        <v>117</v>
      </c>
    </row>
    <row r="21" customFormat="false" ht="57.75" hidden="false" customHeight="true" outlineLevel="0" collapsed="false">
      <c r="A21" s="2" t="s">
        <v>118</v>
      </c>
      <c r="B21" s="3" t="s">
        <v>119</v>
      </c>
      <c r="C21" s="4" t="s">
        <v>20</v>
      </c>
      <c r="D21" s="4" t="s">
        <v>84</v>
      </c>
      <c r="E21" s="6" t="s">
        <v>77</v>
      </c>
      <c r="F21" s="4" t="s">
        <v>78</v>
      </c>
      <c r="G21" s="4" t="s">
        <v>120</v>
      </c>
      <c r="H21" s="4" t="s">
        <v>25</v>
      </c>
      <c r="I21" s="4" t="s">
        <v>121</v>
      </c>
      <c r="J21" s="6" t="s">
        <v>122</v>
      </c>
      <c r="K21" s="4" t="s">
        <v>28</v>
      </c>
      <c r="L21" s="4" t="s">
        <v>123</v>
      </c>
      <c r="M21" s="4" t="s">
        <v>30</v>
      </c>
      <c r="N21" s="5" t="s">
        <v>31</v>
      </c>
      <c r="O21" s="5" t="s">
        <v>32</v>
      </c>
      <c r="P21" s="6" t="s">
        <v>33</v>
      </c>
      <c r="Q21" s="3" t="s">
        <v>34</v>
      </c>
      <c r="R21"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9" min="2" style="0" width="13"/>
    <col collapsed="false" customWidth="true" hidden="false" outlineLevel="0" max="10" min="10" style="0" width="20"/>
    <col collapsed="false" customWidth="true" hidden="false" outlineLevel="0" max="11" min="11" style="0" width="24"/>
    <col collapsed="false" customWidth="true" hidden="false" outlineLevel="0" max="12" min="12" style="0" width="46"/>
  </cols>
  <sheetData>
    <row r="1" customFormat="false" ht="42" hidden="false" customHeight="true" outlineLevel="0" collapsed="false">
      <c r="A1" s="1" t="s">
        <v>0</v>
      </c>
      <c r="B1" s="1" t="s">
        <v>124</v>
      </c>
      <c r="C1" s="1" t="s">
        <v>125</v>
      </c>
      <c r="D1" s="1" t="s">
        <v>126</v>
      </c>
      <c r="E1" s="1" t="s">
        <v>127</v>
      </c>
      <c r="F1" s="1" t="s">
        <v>128</v>
      </c>
      <c r="G1" s="1" t="s">
        <v>129</v>
      </c>
      <c r="H1" s="1" t="s">
        <v>130</v>
      </c>
      <c r="I1" s="1" t="s">
        <v>131</v>
      </c>
      <c r="J1" s="1" t="s">
        <v>132</v>
      </c>
      <c r="K1" s="1" t="s">
        <v>133</v>
      </c>
      <c r="L1" s="1" t="s">
        <v>134</v>
      </c>
    </row>
    <row r="2" customFormat="false" ht="35.05" hidden="false" customHeight="false" outlineLevel="0" collapsed="false">
      <c r="A2" s="7" t="s">
        <v>18</v>
      </c>
      <c r="B2" s="8" t="s">
        <v>135</v>
      </c>
      <c r="C2" s="8" t="s">
        <v>135</v>
      </c>
      <c r="D2" s="8" t="s">
        <v>135</v>
      </c>
      <c r="E2" s="8" t="s">
        <v>135</v>
      </c>
      <c r="F2" s="8" t="s">
        <v>135</v>
      </c>
      <c r="G2" s="8" t="s">
        <v>135</v>
      </c>
      <c r="H2" s="8" t="s">
        <v>135</v>
      </c>
      <c r="I2" s="8" t="s">
        <v>135</v>
      </c>
      <c r="J2" s="8" t="s">
        <v>136</v>
      </c>
      <c r="K2" s="8" t="s">
        <v>137</v>
      </c>
      <c r="L2" s="7" t="s">
        <v>138</v>
      </c>
    </row>
    <row r="3" customFormat="false" ht="23.85" hidden="false" customHeight="false" outlineLevel="0" collapsed="false">
      <c r="A3" s="7" t="s">
        <v>36</v>
      </c>
      <c r="B3" s="8" t="s">
        <v>135</v>
      </c>
      <c r="C3" s="8" t="s">
        <v>135</v>
      </c>
      <c r="D3" s="8" t="s">
        <v>135</v>
      </c>
      <c r="E3" s="8" t="s">
        <v>135</v>
      </c>
      <c r="F3" s="8" t="s">
        <v>135</v>
      </c>
      <c r="G3" s="8" t="s">
        <v>135</v>
      </c>
      <c r="H3" s="8" t="s">
        <v>135</v>
      </c>
      <c r="I3" s="8" t="s">
        <v>135</v>
      </c>
      <c r="J3" s="8" t="s">
        <v>136</v>
      </c>
      <c r="K3" s="8" t="s">
        <v>137</v>
      </c>
      <c r="L3" s="7" t="s">
        <v>139</v>
      </c>
    </row>
    <row r="4" customFormat="false" ht="23.85" hidden="false" customHeight="false" outlineLevel="0" collapsed="false">
      <c r="A4" s="7" t="s">
        <v>44</v>
      </c>
      <c r="B4" s="8" t="s">
        <v>135</v>
      </c>
      <c r="C4" s="8" t="s">
        <v>135</v>
      </c>
      <c r="D4" s="8" t="s">
        <v>135</v>
      </c>
      <c r="E4" s="8" t="s">
        <v>135</v>
      </c>
      <c r="F4" s="8" t="s">
        <v>135</v>
      </c>
      <c r="G4" s="8" t="s">
        <v>135</v>
      </c>
      <c r="H4" s="8" t="s">
        <v>135</v>
      </c>
      <c r="I4" s="8" t="s">
        <v>135</v>
      </c>
      <c r="J4" s="8" t="s">
        <v>136</v>
      </c>
      <c r="K4" s="8" t="s">
        <v>137</v>
      </c>
      <c r="L4" s="7" t="s">
        <v>139</v>
      </c>
    </row>
    <row r="5" customFormat="false" ht="23.85" hidden="false" customHeight="false" outlineLevel="0" collapsed="false">
      <c r="A5" s="7" t="s">
        <v>48</v>
      </c>
      <c r="B5" s="8" t="s">
        <v>135</v>
      </c>
      <c r="C5" s="8" t="s">
        <v>135</v>
      </c>
      <c r="D5" s="8" t="s">
        <v>135</v>
      </c>
      <c r="E5" s="8" t="s">
        <v>135</v>
      </c>
      <c r="F5" s="8" t="s">
        <v>135</v>
      </c>
      <c r="G5" s="8" t="s">
        <v>135</v>
      </c>
      <c r="H5" s="8" t="s">
        <v>135</v>
      </c>
      <c r="I5" s="8" t="s">
        <v>135</v>
      </c>
      <c r="J5" s="8" t="s">
        <v>136</v>
      </c>
      <c r="K5" s="8" t="s">
        <v>137</v>
      </c>
      <c r="L5" s="7" t="s">
        <v>139</v>
      </c>
    </row>
    <row r="6" customFormat="false" ht="35.05" hidden="false" customHeight="false" outlineLevel="0" collapsed="false">
      <c r="A6" s="7" t="s">
        <v>52</v>
      </c>
      <c r="B6" s="8" t="s">
        <v>135</v>
      </c>
      <c r="C6" s="8" t="s">
        <v>135</v>
      </c>
      <c r="D6" s="8" t="s">
        <v>135</v>
      </c>
      <c r="E6" s="8" t="s">
        <v>135</v>
      </c>
      <c r="F6" s="8" t="s">
        <v>135</v>
      </c>
      <c r="G6" s="8" t="s">
        <v>135</v>
      </c>
      <c r="H6" s="8" t="s">
        <v>135</v>
      </c>
      <c r="I6" s="8" t="s">
        <v>135</v>
      </c>
      <c r="J6" s="8" t="s">
        <v>136</v>
      </c>
      <c r="K6" s="8" t="s">
        <v>137</v>
      </c>
      <c r="L6" s="7" t="s">
        <v>138</v>
      </c>
    </row>
    <row r="7" customFormat="false" ht="35.05" hidden="false" customHeight="false" outlineLevel="0" collapsed="false">
      <c r="A7" s="7" t="s">
        <v>56</v>
      </c>
      <c r="B7" s="8" t="s">
        <v>135</v>
      </c>
      <c r="C7" s="8" t="s">
        <v>135</v>
      </c>
      <c r="D7" s="8" t="s">
        <v>135</v>
      </c>
      <c r="E7" s="8" t="s">
        <v>135</v>
      </c>
      <c r="F7" s="8" t="s">
        <v>135</v>
      </c>
      <c r="G7" s="8" t="s">
        <v>135</v>
      </c>
      <c r="H7" s="8" t="s">
        <v>135</v>
      </c>
      <c r="I7" s="8" t="s">
        <v>135</v>
      </c>
      <c r="J7" s="8" t="s">
        <v>136</v>
      </c>
      <c r="K7" s="8" t="s">
        <v>137</v>
      </c>
      <c r="L7" s="7" t="s">
        <v>138</v>
      </c>
    </row>
    <row r="8" customFormat="false" ht="23.85" hidden="false" customHeight="false" outlineLevel="0" collapsed="false">
      <c r="A8" s="7" t="s">
        <v>60</v>
      </c>
      <c r="B8" s="8" t="s">
        <v>135</v>
      </c>
      <c r="C8" s="8" t="s">
        <v>135</v>
      </c>
      <c r="D8" s="8" t="s">
        <v>135</v>
      </c>
      <c r="E8" s="8" t="s">
        <v>135</v>
      </c>
      <c r="F8" s="8" t="s">
        <v>135</v>
      </c>
      <c r="G8" s="8" t="s">
        <v>135</v>
      </c>
      <c r="H8" s="8" t="s">
        <v>135</v>
      </c>
      <c r="I8" s="8" t="s">
        <v>135</v>
      </c>
      <c r="J8" s="8" t="s">
        <v>136</v>
      </c>
      <c r="K8" s="8" t="s">
        <v>137</v>
      </c>
      <c r="L8" s="7" t="s">
        <v>139</v>
      </c>
    </row>
    <row r="9" customFormat="false" ht="23.85" hidden="false" customHeight="false" outlineLevel="0" collapsed="false">
      <c r="A9" s="7" t="s">
        <v>65</v>
      </c>
      <c r="B9" s="8" t="s">
        <v>135</v>
      </c>
      <c r="C9" s="8" t="s">
        <v>135</v>
      </c>
      <c r="D9" s="8" t="s">
        <v>135</v>
      </c>
      <c r="E9" s="8" t="s">
        <v>135</v>
      </c>
      <c r="F9" s="8" t="s">
        <v>135</v>
      </c>
      <c r="G9" s="8" t="s">
        <v>135</v>
      </c>
      <c r="H9" s="8" t="s">
        <v>135</v>
      </c>
      <c r="I9" s="8" t="s">
        <v>135</v>
      </c>
      <c r="J9" s="8" t="s">
        <v>136</v>
      </c>
      <c r="K9" s="8" t="s">
        <v>137</v>
      </c>
      <c r="L9" s="7" t="s">
        <v>139</v>
      </c>
    </row>
    <row r="10" customFormat="false" ht="23.85" hidden="false" customHeight="false" outlineLevel="0" collapsed="false">
      <c r="A10" s="7" t="s">
        <v>70</v>
      </c>
      <c r="B10" s="8" t="s">
        <v>135</v>
      </c>
      <c r="C10" s="8" t="s">
        <v>135</v>
      </c>
      <c r="D10" s="8" t="s">
        <v>135</v>
      </c>
      <c r="E10" s="8" t="s">
        <v>135</v>
      </c>
      <c r="F10" s="8" t="s">
        <v>135</v>
      </c>
      <c r="G10" s="8" t="s">
        <v>135</v>
      </c>
      <c r="H10" s="8" t="s">
        <v>135</v>
      </c>
      <c r="I10" s="8" t="s">
        <v>135</v>
      </c>
      <c r="J10" s="8" t="s">
        <v>136</v>
      </c>
      <c r="K10" s="8" t="s">
        <v>137</v>
      </c>
      <c r="L10" s="7" t="s">
        <v>139</v>
      </c>
    </row>
    <row r="11" customFormat="false" ht="23.85" hidden="false" customHeight="false" outlineLevel="0" collapsed="false">
      <c r="A11" s="7" t="s">
        <v>75</v>
      </c>
      <c r="B11" s="8" t="s">
        <v>135</v>
      </c>
      <c r="C11" s="8" t="s">
        <v>135</v>
      </c>
      <c r="D11" s="8" t="s">
        <v>135</v>
      </c>
      <c r="E11" s="8" t="s">
        <v>135</v>
      </c>
      <c r="F11" s="8" t="s">
        <v>135</v>
      </c>
      <c r="G11" s="8" t="s">
        <v>135</v>
      </c>
      <c r="H11" s="8" t="s">
        <v>135</v>
      </c>
      <c r="I11" s="8" t="s">
        <v>135</v>
      </c>
      <c r="J11" s="8" t="s">
        <v>136</v>
      </c>
      <c r="K11" s="8" t="s">
        <v>137</v>
      </c>
      <c r="L11" s="7" t="s">
        <v>140</v>
      </c>
    </row>
    <row r="12" customFormat="false" ht="23.85" hidden="false" customHeight="false" outlineLevel="0" collapsed="false">
      <c r="A12" s="7" t="s">
        <v>82</v>
      </c>
      <c r="B12" s="8" t="s">
        <v>135</v>
      </c>
      <c r="C12" s="8" t="s">
        <v>135</v>
      </c>
      <c r="D12" s="8" t="s">
        <v>135</v>
      </c>
      <c r="E12" s="8" t="s">
        <v>135</v>
      </c>
      <c r="F12" s="8" t="s">
        <v>135</v>
      </c>
      <c r="G12" s="8" t="s">
        <v>135</v>
      </c>
      <c r="H12" s="8" t="s">
        <v>135</v>
      </c>
      <c r="I12" s="8" t="s">
        <v>135</v>
      </c>
      <c r="J12" s="8" t="s">
        <v>136</v>
      </c>
      <c r="K12" s="8" t="s">
        <v>137</v>
      </c>
      <c r="L12" s="7" t="s">
        <v>140</v>
      </c>
    </row>
    <row r="13" customFormat="false" ht="23.85" hidden="false" customHeight="false" outlineLevel="0" collapsed="false">
      <c r="A13" s="7" t="s">
        <v>86</v>
      </c>
      <c r="B13" s="8" t="s">
        <v>135</v>
      </c>
      <c r="C13" s="8" t="s">
        <v>135</v>
      </c>
      <c r="D13" s="8" t="s">
        <v>135</v>
      </c>
      <c r="E13" s="8" t="s">
        <v>135</v>
      </c>
      <c r="F13" s="8" t="s">
        <v>135</v>
      </c>
      <c r="G13" s="8" t="s">
        <v>135</v>
      </c>
      <c r="H13" s="8" t="s">
        <v>135</v>
      </c>
      <c r="I13" s="8" t="s">
        <v>135</v>
      </c>
      <c r="J13" s="8" t="s">
        <v>136</v>
      </c>
      <c r="K13" s="8" t="s">
        <v>137</v>
      </c>
      <c r="L13" s="7" t="s">
        <v>140</v>
      </c>
    </row>
    <row r="14" customFormat="false" ht="23.85" hidden="false" customHeight="false" outlineLevel="0" collapsed="false">
      <c r="A14" s="7" t="s">
        <v>89</v>
      </c>
      <c r="B14" s="8" t="s">
        <v>135</v>
      </c>
      <c r="C14" s="8" t="s">
        <v>135</v>
      </c>
      <c r="D14" s="8" t="s">
        <v>135</v>
      </c>
      <c r="E14" s="8" t="s">
        <v>135</v>
      </c>
      <c r="F14" s="8" t="s">
        <v>135</v>
      </c>
      <c r="G14" s="8" t="s">
        <v>135</v>
      </c>
      <c r="H14" s="8" t="s">
        <v>135</v>
      </c>
      <c r="I14" s="8" t="s">
        <v>135</v>
      </c>
      <c r="J14" s="8" t="s">
        <v>136</v>
      </c>
      <c r="K14" s="8" t="s">
        <v>137</v>
      </c>
      <c r="L14" s="7" t="s">
        <v>140</v>
      </c>
    </row>
    <row r="15" customFormat="false" ht="23.85" hidden="false" customHeight="false" outlineLevel="0" collapsed="false">
      <c r="A15" s="7" t="s">
        <v>94</v>
      </c>
      <c r="B15" s="8" t="s">
        <v>135</v>
      </c>
      <c r="C15" s="8" t="s">
        <v>135</v>
      </c>
      <c r="D15" s="8" t="s">
        <v>135</v>
      </c>
      <c r="E15" s="8" t="s">
        <v>135</v>
      </c>
      <c r="F15" s="8" t="s">
        <v>135</v>
      </c>
      <c r="G15" s="8" t="s">
        <v>135</v>
      </c>
      <c r="H15" s="8" t="s">
        <v>135</v>
      </c>
      <c r="I15" s="8" t="s">
        <v>135</v>
      </c>
      <c r="J15" s="8" t="s">
        <v>136</v>
      </c>
      <c r="K15" s="8" t="s">
        <v>137</v>
      </c>
      <c r="L15" s="7" t="s">
        <v>140</v>
      </c>
    </row>
    <row r="16" customFormat="false" ht="23.85" hidden="false" customHeight="false" outlineLevel="0" collapsed="false">
      <c r="A16" s="7" t="s">
        <v>97</v>
      </c>
      <c r="B16" s="8" t="s">
        <v>135</v>
      </c>
      <c r="C16" s="8" t="s">
        <v>135</v>
      </c>
      <c r="D16" s="8" t="s">
        <v>135</v>
      </c>
      <c r="E16" s="8" t="s">
        <v>135</v>
      </c>
      <c r="F16" s="8" t="s">
        <v>135</v>
      </c>
      <c r="G16" s="8" t="s">
        <v>135</v>
      </c>
      <c r="H16" s="8" t="s">
        <v>135</v>
      </c>
      <c r="I16" s="8" t="s">
        <v>135</v>
      </c>
      <c r="J16" s="8" t="s">
        <v>136</v>
      </c>
      <c r="K16" s="8" t="s">
        <v>137</v>
      </c>
      <c r="L16" s="7" t="s">
        <v>140</v>
      </c>
    </row>
    <row r="17" customFormat="false" ht="23.85" hidden="false" customHeight="false" outlineLevel="0" collapsed="false">
      <c r="A17" s="7" t="s">
        <v>99</v>
      </c>
      <c r="B17" s="8" t="s">
        <v>135</v>
      </c>
      <c r="C17" s="8" t="s">
        <v>135</v>
      </c>
      <c r="D17" s="8" t="s">
        <v>135</v>
      </c>
      <c r="E17" s="8" t="s">
        <v>135</v>
      </c>
      <c r="F17" s="8" t="s">
        <v>135</v>
      </c>
      <c r="G17" s="8" t="s">
        <v>135</v>
      </c>
      <c r="H17" s="8" t="s">
        <v>135</v>
      </c>
      <c r="I17" s="8" t="s">
        <v>135</v>
      </c>
      <c r="J17" s="8" t="s">
        <v>136</v>
      </c>
      <c r="K17" s="8" t="s">
        <v>137</v>
      </c>
      <c r="L17" s="7" t="s">
        <v>140</v>
      </c>
    </row>
    <row r="18" customFormat="false" ht="23.85" hidden="false" customHeight="false" outlineLevel="0" collapsed="false">
      <c r="A18" s="7" t="s">
        <v>102</v>
      </c>
      <c r="B18" s="8" t="s">
        <v>135</v>
      </c>
      <c r="C18" s="8" t="s">
        <v>135</v>
      </c>
      <c r="D18" s="8" t="s">
        <v>135</v>
      </c>
      <c r="E18" s="8" t="s">
        <v>135</v>
      </c>
      <c r="F18" s="8" t="s">
        <v>135</v>
      </c>
      <c r="G18" s="8" t="s">
        <v>135</v>
      </c>
      <c r="H18" s="8" t="s">
        <v>135</v>
      </c>
      <c r="I18" s="8" t="s">
        <v>135</v>
      </c>
      <c r="J18" s="8" t="s">
        <v>136</v>
      </c>
      <c r="K18" s="8" t="s">
        <v>137</v>
      </c>
      <c r="L18" s="7" t="s">
        <v>140</v>
      </c>
    </row>
    <row r="19" customFormat="false" ht="23.85" hidden="false" customHeight="false" outlineLevel="0" collapsed="false">
      <c r="A19" s="7" t="s">
        <v>107</v>
      </c>
      <c r="B19" s="8" t="s">
        <v>135</v>
      </c>
      <c r="C19" s="8" t="s">
        <v>135</v>
      </c>
      <c r="D19" s="8" t="s">
        <v>135</v>
      </c>
      <c r="E19" s="8" t="s">
        <v>135</v>
      </c>
      <c r="F19" s="8" t="s">
        <v>135</v>
      </c>
      <c r="G19" s="8" t="s">
        <v>135</v>
      </c>
      <c r="H19" s="8" t="s">
        <v>135</v>
      </c>
      <c r="I19" s="8" t="s">
        <v>135</v>
      </c>
      <c r="J19" s="8" t="s">
        <v>136</v>
      </c>
      <c r="K19" s="8" t="s">
        <v>137</v>
      </c>
      <c r="L19" s="7" t="s">
        <v>140</v>
      </c>
    </row>
    <row r="20" customFormat="false" ht="23.85" hidden="false" customHeight="false" outlineLevel="0" collapsed="false">
      <c r="A20" s="7" t="s">
        <v>112</v>
      </c>
      <c r="B20" s="8" t="s">
        <v>135</v>
      </c>
      <c r="C20" s="8" t="s">
        <v>135</v>
      </c>
      <c r="D20" s="8" t="s">
        <v>135</v>
      </c>
      <c r="E20" s="8" t="s">
        <v>135</v>
      </c>
      <c r="F20" s="8" t="s">
        <v>135</v>
      </c>
      <c r="G20" s="8" t="s">
        <v>135</v>
      </c>
      <c r="H20" s="8" t="s">
        <v>135</v>
      </c>
      <c r="I20" s="8" t="s">
        <v>135</v>
      </c>
      <c r="J20" s="8" t="s">
        <v>136</v>
      </c>
      <c r="K20" s="8" t="s">
        <v>137</v>
      </c>
      <c r="L20" s="7" t="s">
        <v>140</v>
      </c>
    </row>
    <row r="21" customFormat="false" ht="23.85" hidden="false" customHeight="false" outlineLevel="0" collapsed="false">
      <c r="A21" s="7" t="s">
        <v>118</v>
      </c>
      <c r="B21" s="8" t="s">
        <v>135</v>
      </c>
      <c r="C21" s="8" t="s">
        <v>135</v>
      </c>
      <c r="D21" s="8" t="s">
        <v>135</v>
      </c>
      <c r="E21" s="8" t="s">
        <v>135</v>
      </c>
      <c r="F21" s="8" t="s">
        <v>135</v>
      </c>
      <c r="G21" s="8" t="s">
        <v>135</v>
      </c>
      <c r="H21" s="8" t="s">
        <v>135</v>
      </c>
      <c r="I21" s="8" t="s">
        <v>135</v>
      </c>
      <c r="J21" s="8" t="s">
        <v>136</v>
      </c>
      <c r="K21" s="8" t="s">
        <v>137</v>
      </c>
      <c r="L21" s="7" t="s">
        <v>140</v>
      </c>
    </row>
    <row r="23" customFormat="false" ht="15" hidden="false" customHeight="false" outlineLevel="0" collapsed="false">
      <c r="A23" s="9" t="s">
        <v>141</v>
      </c>
      <c r="B23" s="9" t="n">
        <f aca="false">COUNTIF(B2:B21,"200")</f>
        <v>20</v>
      </c>
      <c r="C23" s="9" t="n">
        <f aca="false">COUNTIF(C2:C21,"200")</f>
        <v>20</v>
      </c>
      <c r="D23" s="9" t="n">
        <f aca="false">COUNTIF(D2:D21,"200")</f>
        <v>20</v>
      </c>
      <c r="E23" s="9" t="n">
        <f aca="false">COUNTIF(E2:E21,"200")</f>
        <v>20</v>
      </c>
      <c r="F23" s="9" t="n">
        <f aca="false">COUNTIF(F2:F21,"200")</f>
        <v>20</v>
      </c>
      <c r="G23" s="9" t="n">
        <f aca="false">COUNTIF(G2:G21,"200")</f>
        <v>20</v>
      </c>
      <c r="H23" s="9" t="n">
        <f aca="false">COUNTIF(H2:H21,"200")</f>
        <v>20</v>
      </c>
      <c r="I23" s="9" t="n">
        <f aca="false">COUNTIF(I2:I21,"200")</f>
        <v>20</v>
      </c>
      <c r="J23" s="9" t="n">
        <f aca="false">COUNTIF(J2:J21,"206 bytes 100-2099/*")</f>
        <v>20</v>
      </c>
      <c r="K23" s="9" t="n">
        <f aca="false">COUNTIF(K2:K21,"200 application/pdf")</f>
        <v>20</v>
      </c>
      <c r="L23" s="9"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8"/>
    <col collapsed="false" customWidth="true" hidden="false" outlineLevel="0" max="4" min="4" style="0" width="20"/>
    <col collapsed="false" customWidth="true" hidden="false" outlineLevel="0" max="5" min="5" style="0" width="54"/>
    <col collapsed="false" customWidth="true" hidden="false" outlineLevel="0" max="6" min="6" style="0" width="44"/>
    <col collapsed="false" customWidth="true" hidden="false" outlineLevel="0" max="8" min="7" style="0" width="46"/>
  </cols>
  <sheetData>
    <row r="1" customFormat="false" ht="42" hidden="false" customHeight="true" outlineLevel="0" collapsed="false">
      <c r="A1" s="1" t="s">
        <v>143</v>
      </c>
      <c r="B1" s="1" t="s">
        <v>144</v>
      </c>
      <c r="C1" s="1" t="s">
        <v>145</v>
      </c>
      <c r="D1" s="1" t="s">
        <v>146</v>
      </c>
      <c r="E1" s="1" t="s">
        <v>147</v>
      </c>
      <c r="F1" s="1" t="s">
        <v>148</v>
      </c>
      <c r="G1" s="1" t="s">
        <v>149</v>
      </c>
      <c r="H1" s="1" t="s">
        <v>150</v>
      </c>
    </row>
    <row r="2" customFormat="false" ht="85.5" hidden="false" customHeight="true" outlineLevel="0" collapsed="false">
      <c r="A2" s="3" t="s">
        <v>151</v>
      </c>
      <c r="B2" s="10" t="s">
        <v>34</v>
      </c>
      <c r="C2" s="3" t="s">
        <v>152</v>
      </c>
      <c r="D2" s="3" t="s">
        <v>153</v>
      </c>
      <c r="E2" s="3" t="s">
        <v>154</v>
      </c>
      <c r="F2" s="3" t="s">
        <v>155</v>
      </c>
      <c r="G2" s="3" t="s">
        <v>156</v>
      </c>
      <c r="H2" s="3" t="s">
        <v>157</v>
      </c>
    </row>
    <row r="3" customFormat="false" ht="85.5" hidden="false" customHeight="true" outlineLevel="0" collapsed="false">
      <c r="A3" s="3" t="s">
        <v>158</v>
      </c>
      <c r="B3" s="11" t="s">
        <v>159</v>
      </c>
      <c r="C3" s="3" t="s">
        <v>160</v>
      </c>
      <c r="D3" s="3" t="s">
        <v>161</v>
      </c>
      <c r="E3" s="3" t="s">
        <v>162</v>
      </c>
      <c r="F3" s="3" t="s">
        <v>163</v>
      </c>
      <c r="G3" s="3" t="s">
        <v>164</v>
      </c>
      <c r="H3" s="3" t="s">
        <v>165</v>
      </c>
    </row>
    <row r="4" customFormat="false" ht="85.5" hidden="false" customHeight="true" outlineLevel="0" collapsed="false">
      <c r="A4" s="3" t="s">
        <v>166</v>
      </c>
      <c r="B4" s="11" t="s">
        <v>159</v>
      </c>
      <c r="C4" s="3" t="s">
        <v>167</v>
      </c>
      <c r="D4" s="3" t="s">
        <v>168</v>
      </c>
      <c r="E4" s="3" t="s">
        <v>169</v>
      </c>
      <c r="F4" s="3" t="s">
        <v>170</v>
      </c>
      <c r="G4" s="3" t="s">
        <v>171</v>
      </c>
      <c r="H4" s="3" t="s">
        <v>172</v>
      </c>
    </row>
    <row r="5" customFormat="false" ht="85.5" hidden="false" customHeight="true" outlineLevel="0" collapsed="false">
      <c r="A5" s="3" t="s">
        <v>173</v>
      </c>
      <c r="B5" s="11" t="s">
        <v>159</v>
      </c>
      <c r="C5" s="3" t="s">
        <v>174</v>
      </c>
      <c r="D5" s="3" t="s">
        <v>168</v>
      </c>
      <c r="E5" s="3" t="s">
        <v>175</v>
      </c>
      <c r="F5" s="3" t="s">
        <v>176</v>
      </c>
      <c r="G5" s="3" t="s">
        <v>177</v>
      </c>
      <c r="H5" s="3" t="s">
        <v>178</v>
      </c>
    </row>
    <row r="6" customFormat="false" ht="85.5" hidden="false" customHeight="true" outlineLevel="0" collapsed="false">
      <c r="A6" s="3" t="s">
        <v>179</v>
      </c>
      <c r="B6" s="11" t="s">
        <v>159</v>
      </c>
      <c r="C6" s="3" t="s">
        <v>180</v>
      </c>
      <c r="D6" s="3" t="s">
        <v>181</v>
      </c>
      <c r="E6" s="3" t="s">
        <v>182</v>
      </c>
      <c r="F6" s="3" t="s">
        <v>183</v>
      </c>
      <c r="G6" s="3" t="s">
        <v>184</v>
      </c>
      <c r="H6" s="3" t="s">
        <v>185</v>
      </c>
    </row>
    <row r="7" customFormat="false" ht="85.5" hidden="false" customHeight="true" outlineLevel="0" collapsed="false">
      <c r="A7" s="3" t="s">
        <v>186</v>
      </c>
      <c r="B7" s="11" t="s">
        <v>159</v>
      </c>
      <c r="C7" s="3" t="s">
        <v>187</v>
      </c>
      <c r="D7" s="3" t="s">
        <v>153</v>
      </c>
      <c r="E7" s="3" t="s">
        <v>188</v>
      </c>
      <c r="F7" s="3" t="s">
        <v>189</v>
      </c>
      <c r="G7" s="3" t="s">
        <v>190</v>
      </c>
      <c r="H7" s="3" t="s">
        <v>191</v>
      </c>
    </row>
    <row r="8" customFormat="false" ht="85.5" hidden="false" customHeight="true" outlineLevel="0" collapsed="false">
      <c r="A8" s="3" t="s">
        <v>192</v>
      </c>
      <c r="B8" s="11" t="s">
        <v>159</v>
      </c>
      <c r="C8" s="3" t="s">
        <v>193</v>
      </c>
      <c r="D8" s="3" t="s">
        <v>153</v>
      </c>
      <c r="E8" s="3" t="s">
        <v>194</v>
      </c>
      <c r="F8" s="3" t="s">
        <v>195</v>
      </c>
      <c r="G8" s="3" t="s">
        <v>196</v>
      </c>
      <c r="H8" s="3" t="s">
        <v>197</v>
      </c>
    </row>
    <row r="9" customFormat="false" ht="85.5" hidden="false" customHeight="true" outlineLevel="0" collapsed="false">
      <c r="A9" s="3" t="s">
        <v>198</v>
      </c>
      <c r="B9" s="11" t="s">
        <v>159</v>
      </c>
      <c r="C9" s="3" t="s">
        <v>199</v>
      </c>
      <c r="D9" s="3" t="s">
        <v>153</v>
      </c>
      <c r="E9" s="3" t="s">
        <v>200</v>
      </c>
      <c r="F9" s="3" t="s">
        <v>201</v>
      </c>
      <c r="G9" s="3" t="s">
        <v>202</v>
      </c>
      <c r="H9" s="3" t="s">
        <v>203</v>
      </c>
    </row>
    <row r="10" customFormat="false" ht="85.5" hidden="false" customHeight="true" outlineLevel="0" collapsed="false">
      <c r="A10" s="3" t="s">
        <v>204</v>
      </c>
      <c r="B10" s="11" t="s">
        <v>159</v>
      </c>
      <c r="C10" s="3" t="s">
        <v>205</v>
      </c>
      <c r="D10" s="3" t="s">
        <v>153</v>
      </c>
      <c r="E10" s="3" t="s">
        <v>206</v>
      </c>
      <c r="F10" s="3" t="s">
        <v>207</v>
      </c>
      <c r="G10" s="3" t="s">
        <v>208</v>
      </c>
      <c r="H10" s="3" t="s">
        <v>209</v>
      </c>
    </row>
    <row r="11" customFormat="false" ht="85.5" hidden="false" customHeight="true" outlineLevel="0" collapsed="false">
      <c r="A11" s="3" t="s">
        <v>210</v>
      </c>
      <c r="B11" s="11" t="s">
        <v>159</v>
      </c>
      <c r="C11" s="3" t="s">
        <v>211</v>
      </c>
      <c r="D11" s="3" t="s">
        <v>70</v>
      </c>
      <c r="E11" s="3" t="s">
        <v>212</v>
      </c>
      <c r="F11" s="3" t="s">
        <v>213</v>
      </c>
      <c r="G11" s="3" t="s">
        <v>214</v>
      </c>
      <c r="H11" s="3" t="s">
        <v>215</v>
      </c>
    </row>
    <row r="12" customFormat="false" ht="85.5" hidden="false" customHeight="true" outlineLevel="0" collapsed="false">
      <c r="A12" s="3" t="s">
        <v>216</v>
      </c>
      <c r="B12" s="11" t="s">
        <v>159</v>
      </c>
      <c r="C12" s="3" t="s">
        <v>217</v>
      </c>
      <c r="D12" s="3" t="s">
        <v>218</v>
      </c>
      <c r="E12" s="3" t="s">
        <v>219</v>
      </c>
      <c r="F12" s="3" t="s">
        <v>220</v>
      </c>
      <c r="G12" s="3" t="s">
        <v>221</v>
      </c>
      <c r="H12" s="3" t="s">
        <v>222</v>
      </c>
    </row>
    <row r="13" customFormat="false" ht="85.5" hidden="false" customHeight="true" outlineLevel="0" collapsed="false">
      <c r="A13" s="3" t="s">
        <v>223</v>
      </c>
      <c r="B13" s="12" t="s">
        <v>224</v>
      </c>
      <c r="C13" s="3" t="s">
        <v>225</v>
      </c>
      <c r="D13" s="3" t="s">
        <v>226</v>
      </c>
      <c r="E13" s="3" t="s">
        <v>227</v>
      </c>
      <c r="F13" s="3" t="s">
        <v>228</v>
      </c>
      <c r="G13" s="3" t="s">
        <v>229</v>
      </c>
      <c r="H13" s="3" t="s">
        <v>230</v>
      </c>
    </row>
    <row r="14" customFormat="false" ht="85.5" hidden="false" customHeight="true" outlineLevel="0" collapsed="false">
      <c r="A14" s="3" t="s">
        <v>231</v>
      </c>
      <c r="B14" s="12" t="s">
        <v>224</v>
      </c>
      <c r="C14" s="3" t="s">
        <v>232</v>
      </c>
      <c r="D14" s="3" t="s">
        <v>153</v>
      </c>
      <c r="E14" s="3" t="s">
        <v>233</v>
      </c>
      <c r="F14" s="3" t="s">
        <v>234</v>
      </c>
      <c r="G14" s="3" t="s">
        <v>235</v>
      </c>
      <c r="H14" s="3" t="s">
        <v>236</v>
      </c>
    </row>
    <row r="15" customFormat="false" ht="85.5" hidden="false" customHeight="true" outlineLevel="0" collapsed="false">
      <c r="A15" s="3" t="s">
        <v>237</v>
      </c>
      <c r="B15" s="12" t="s">
        <v>224</v>
      </c>
      <c r="C15" s="3" t="s">
        <v>238</v>
      </c>
      <c r="D15" s="3" t="s">
        <v>239</v>
      </c>
      <c r="E15" s="3" t="s">
        <v>240</v>
      </c>
      <c r="F15" s="3" t="s">
        <v>241</v>
      </c>
      <c r="G15" s="3" t="s">
        <v>242</v>
      </c>
      <c r="H15" s="3" t="s">
        <v>243</v>
      </c>
    </row>
    <row r="16" customFormat="false" ht="85.5" hidden="false" customHeight="true" outlineLevel="0" collapsed="false">
      <c r="A16" s="3" t="s">
        <v>244</v>
      </c>
      <c r="B16" s="12" t="s">
        <v>224</v>
      </c>
      <c r="C16" s="3" t="s">
        <v>245</v>
      </c>
      <c r="D16" s="3" t="s">
        <v>246</v>
      </c>
      <c r="E16" s="3" t="s">
        <v>247</v>
      </c>
      <c r="F16" s="3" t="s">
        <v>248</v>
      </c>
      <c r="G16" s="3" t="s">
        <v>249</v>
      </c>
      <c r="H16" s="3"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44"/>
    <col collapsed="false" customWidth="true" hidden="false" outlineLevel="0" max="4" min="4" style="0" width="12"/>
    <col collapsed="false" customWidth="true" hidden="false" outlineLevel="0" max="5" min="5" style="0" width="52"/>
  </cols>
  <sheetData>
    <row r="1" customFormat="false" ht="42" hidden="false" customHeight="true" outlineLevel="0" collapsed="false">
      <c r="A1" s="1" t="s">
        <v>251</v>
      </c>
      <c r="B1" s="1" t="s">
        <v>252</v>
      </c>
      <c r="C1" s="1" t="s">
        <v>253</v>
      </c>
      <c r="D1" s="1" t="s">
        <v>15</v>
      </c>
      <c r="E1" s="1" t="s">
        <v>254</v>
      </c>
    </row>
    <row r="2" customFormat="false" ht="31.5" hidden="false" customHeight="true" outlineLevel="0" collapsed="false">
      <c r="A2" s="3" t="s">
        <v>255</v>
      </c>
      <c r="B2" s="3" t="s">
        <v>256</v>
      </c>
      <c r="C2" s="3" t="s">
        <v>257</v>
      </c>
      <c r="D2" s="12" t="s">
        <v>258</v>
      </c>
      <c r="E2" s="3"/>
    </row>
    <row r="3" customFormat="false" ht="31.5" hidden="false" customHeight="true" outlineLevel="0" collapsed="false">
      <c r="A3" s="3" t="s">
        <v>259</v>
      </c>
      <c r="B3" s="3" t="s">
        <v>256</v>
      </c>
      <c r="C3" s="3" t="s">
        <v>260</v>
      </c>
      <c r="D3" s="12" t="s">
        <v>258</v>
      </c>
      <c r="E3" s="3"/>
    </row>
    <row r="4" customFormat="false" ht="31.5" hidden="false" customHeight="true" outlineLevel="0" collapsed="false">
      <c r="A4" s="3" t="s">
        <v>261</v>
      </c>
      <c r="B4" s="3" t="s">
        <v>262</v>
      </c>
      <c r="C4" s="3" t="s">
        <v>263</v>
      </c>
      <c r="D4" s="12" t="s">
        <v>258</v>
      </c>
      <c r="E4" s="3" t="s">
        <v>264</v>
      </c>
    </row>
    <row r="5" customFormat="false" ht="31.5" hidden="false" customHeight="true" outlineLevel="0" collapsed="false">
      <c r="A5" s="3" t="s">
        <v>265</v>
      </c>
      <c r="B5" s="3" t="s">
        <v>266</v>
      </c>
      <c r="C5" s="3" t="s">
        <v>267</v>
      </c>
      <c r="D5" s="12" t="s">
        <v>258</v>
      </c>
      <c r="E5" s="3"/>
    </row>
    <row r="6" customFormat="false" ht="31.5" hidden="false" customHeight="true" outlineLevel="0" collapsed="false">
      <c r="A6" s="3" t="s">
        <v>268</v>
      </c>
      <c r="B6" s="3" t="s">
        <v>256</v>
      </c>
      <c r="C6" s="3" t="s">
        <v>269</v>
      </c>
      <c r="D6" s="12" t="s">
        <v>258</v>
      </c>
      <c r="E6" s="3"/>
    </row>
    <row r="7" customFormat="false" ht="31.5" hidden="false" customHeight="true" outlineLevel="0" collapsed="false">
      <c r="A7" s="3" t="s">
        <v>270</v>
      </c>
      <c r="B7" s="3" t="s">
        <v>256</v>
      </c>
      <c r="C7" s="3" t="s">
        <v>135</v>
      </c>
      <c r="D7" s="12" t="s">
        <v>258</v>
      </c>
      <c r="E7" s="3"/>
    </row>
    <row r="8" customFormat="false" ht="31.5" hidden="false" customHeight="true" outlineLevel="0" collapsed="false">
      <c r="A8" s="3" t="s">
        <v>271</v>
      </c>
      <c r="B8" s="3" t="s">
        <v>256</v>
      </c>
      <c r="C8" s="3" t="s">
        <v>135</v>
      </c>
      <c r="D8" s="12" t="s">
        <v>258</v>
      </c>
      <c r="E8" s="3"/>
    </row>
    <row r="9" customFormat="false" ht="31.5" hidden="false" customHeight="true" outlineLevel="0" collapsed="false">
      <c r="A9" s="3" t="s">
        <v>272</v>
      </c>
      <c r="B9" s="3" t="s">
        <v>256</v>
      </c>
      <c r="C9" s="3" t="s">
        <v>135</v>
      </c>
      <c r="D9" s="12" t="s">
        <v>258</v>
      </c>
      <c r="E9" s="3"/>
    </row>
    <row r="10" customFormat="false" ht="31.5" hidden="false" customHeight="true" outlineLevel="0" collapsed="false">
      <c r="A10" s="3" t="s">
        <v>273</v>
      </c>
      <c r="B10" s="3" t="s">
        <v>256</v>
      </c>
      <c r="C10" s="3" t="s">
        <v>135</v>
      </c>
      <c r="D10" s="12" t="s">
        <v>258</v>
      </c>
      <c r="E10" s="3"/>
    </row>
    <row r="11" customFormat="false" ht="31.5" hidden="false" customHeight="true" outlineLevel="0" collapsed="false">
      <c r="A11" s="3" t="s">
        <v>274</v>
      </c>
      <c r="B11" s="3" t="s">
        <v>256</v>
      </c>
      <c r="C11" s="3" t="s">
        <v>275</v>
      </c>
      <c r="D11" s="12" t="s">
        <v>258</v>
      </c>
      <c r="E11" s="3"/>
    </row>
    <row r="12" customFormat="false" ht="31.5" hidden="false" customHeight="true" outlineLevel="0" collapsed="false">
      <c r="A12" s="3" t="s">
        <v>276</v>
      </c>
      <c r="B12" s="3" t="s">
        <v>256</v>
      </c>
      <c r="C12" s="3" t="s">
        <v>135</v>
      </c>
      <c r="D12" s="12" t="s">
        <v>258</v>
      </c>
      <c r="E12" s="3" t="s">
        <v>277</v>
      </c>
    </row>
    <row r="13" customFormat="false" ht="31.5" hidden="false" customHeight="true" outlineLevel="0" collapsed="false">
      <c r="A13" s="3" t="s">
        <v>278</v>
      </c>
      <c r="B13" s="3" t="s">
        <v>256</v>
      </c>
      <c r="C13" s="3" t="s">
        <v>135</v>
      </c>
      <c r="D13" s="12" t="s">
        <v>258</v>
      </c>
      <c r="E13" s="3"/>
    </row>
    <row r="14" customFormat="false" ht="31.5" hidden="false" customHeight="true" outlineLevel="0" collapsed="false">
      <c r="A14" s="3" t="s">
        <v>279</v>
      </c>
      <c r="B14" s="3" t="s">
        <v>256</v>
      </c>
      <c r="C14" s="3" t="s">
        <v>135</v>
      </c>
      <c r="D14" s="12" t="s">
        <v>258</v>
      </c>
      <c r="E14" s="3"/>
    </row>
    <row r="15" customFormat="false" ht="31.5" hidden="false" customHeight="true" outlineLevel="0" collapsed="false">
      <c r="A15" s="3" t="s">
        <v>280</v>
      </c>
      <c r="B15" s="3" t="s">
        <v>256</v>
      </c>
      <c r="C15" s="3" t="s">
        <v>135</v>
      </c>
      <c r="D15" s="12" t="s">
        <v>258</v>
      </c>
      <c r="E15" s="3"/>
    </row>
    <row r="16" customFormat="false" ht="31.5" hidden="false" customHeight="true" outlineLevel="0" collapsed="false">
      <c r="A16" s="3" t="s">
        <v>281</v>
      </c>
      <c r="B16" s="3" t="s">
        <v>282</v>
      </c>
      <c r="C16" s="3" t="s">
        <v>283</v>
      </c>
      <c r="D16" s="12" t="s">
        <v>258</v>
      </c>
      <c r="E16" s="3"/>
    </row>
    <row r="17" customFormat="false" ht="31.5" hidden="false" customHeight="true" outlineLevel="0" collapsed="false">
      <c r="A17" s="3" t="s">
        <v>284</v>
      </c>
      <c r="B17" s="3" t="s">
        <v>285</v>
      </c>
      <c r="C17" s="3" t="s">
        <v>286</v>
      </c>
      <c r="D17" s="12" t="s">
        <v>258</v>
      </c>
      <c r="E17" s="3"/>
    </row>
    <row r="18" customFormat="false" ht="31.5" hidden="false" customHeight="true" outlineLevel="0" collapsed="false">
      <c r="A18" s="3" t="s">
        <v>287</v>
      </c>
      <c r="B18" s="3" t="s">
        <v>288</v>
      </c>
      <c r="C18" s="3" t="s">
        <v>289</v>
      </c>
      <c r="D18" s="12" t="s">
        <v>258</v>
      </c>
      <c r="E18" s="3"/>
    </row>
    <row r="19" customFormat="false" ht="31.5" hidden="false" customHeight="true" outlineLevel="0" collapsed="false">
      <c r="A19" s="3" t="s">
        <v>245</v>
      </c>
      <c r="B19" s="3" t="s">
        <v>290</v>
      </c>
      <c r="C19" s="3" t="s">
        <v>291</v>
      </c>
      <c r="D19" s="12" t="s">
        <v>258</v>
      </c>
      <c r="E19" s="3" t="s">
        <v>292</v>
      </c>
    </row>
    <row r="20" customFormat="false" ht="31.5" hidden="false" customHeight="true" outlineLevel="0" collapsed="false">
      <c r="A20" s="3" t="s">
        <v>293</v>
      </c>
      <c r="B20" s="3" t="s">
        <v>294</v>
      </c>
      <c r="C20" s="3" t="s">
        <v>295</v>
      </c>
      <c r="D20" s="12" t="s">
        <v>258</v>
      </c>
      <c r="E20" s="3"/>
    </row>
    <row r="21" customFormat="false" ht="31.5" hidden="false" customHeight="true" outlineLevel="0" collapsed="false">
      <c r="A21" s="3" t="s">
        <v>296</v>
      </c>
      <c r="B21" s="3" t="s">
        <v>297</v>
      </c>
      <c r="C21" s="3" t="s">
        <v>298</v>
      </c>
      <c r="D21" s="12" t="s">
        <v>258</v>
      </c>
      <c r="E21" s="3" t="s">
        <v>299</v>
      </c>
    </row>
    <row r="22" customFormat="false" ht="31.5" hidden="false" customHeight="true" outlineLevel="0" collapsed="false">
      <c r="A22" s="3" t="s">
        <v>300</v>
      </c>
      <c r="B22" s="3" t="s">
        <v>301</v>
      </c>
      <c r="C22" s="3" t="s">
        <v>302</v>
      </c>
      <c r="D22" s="12" t="s">
        <v>258</v>
      </c>
      <c r="E22" s="3" t="s">
        <v>303</v>
      </c>
    </row>
    <row r="23" customFormat="false" ht="31.5" hidden="false" customHeight="true" outlineLevel="0" collapsed="false">
      <c r="A23" s="3" t="s">
        <v>304</v>
      </c>
      <c r="B23" s="3" t="s">
        <v>305</v>
      </c>
      <c r="C23" s="3" t="s">
        <v>306</v>
      </c>
      <c r="D23" s="12" t="s">
        <v>258</v>
      </c>
      <c r="E23" s="3" t="s">
        <v>307</v>
      </c>
    </row>
    <row r="24" customFormat="false" ht="31.5" hidden="false" customHeight="true" outlineLevel="0" collapsed="false">
      <c r="A24" s="3" t="s">
        <v>308</v>
      </c>
      <c r="B24" s="3" t="s">
        <v>309</v>
      </c>
      <c r="C24" s="3" t="s">
        <v>310</v>
      </c>
      <c r="D24" s="12" t="s">
        <v>258</v>
      </c>
      <c r="E24" s="3"/>
    </row>
    <row r="25" customFormat="false" ht="31.5" hidden="false" customHeight="true" outlineLevel="0" collapsed="false">
      <c r="A25" s="3" t="s">
        <v>311</v>
      </c>
      <c r="B25" s="3" t="s">
        <v>312</v>
      </c>
      <c r="C25" s="3" t="s">
        <v>312</v>
      </c>
      <c r="D25" s="12" t="s">
        <v>258</v>
      </c>
      <c r="E25" s="3" t="s">
        <v>313</v>
      </c>
    </row>
    <row r="26" customFormat="false" ht="31.5" hidden="false" customHeight="true" outlineLevel="0" collapsed="false">
      <c r="A26" s="3" t="s">
        <v>314</v>
      </c>
      <c r="B26" s="3" t="s">
        <v>315</v>
      </c>
      <c r="C26" s="3" t="s">
        <v>316</v>
      </c>
      <c r="D26" s="11" t="s">
        <v>317</v>
      </c>
      <c r="E26" s="3" t="s">
        <v>318</v>
      </c>
    </row>
    <row r="27" customFormat="false" ht="31.5" hidden="false" customHeight="true" outlineLevel="0" collapsed="false">
      <c r="A27" s="3" t="s">
        <v>319</v>
      </c>
      <c r="B27" s="3" t="s">
        <v>315</v>
      </c>
      <c r="C27" s="3" t="s">
        <v>320</v>
      </c>
      <c r="D27" s="11" t="s">
        <v>317</v>
      </c>
      <c r="E27" s="3" t="s">
        <v>321</v>
      </c>
    </row>
    <row r="28" customFormat="false" ht="31.5" hidden="false" customHeight="true" outlineLevel="0" collapsed="false">
      <c r="A28" s="3" t="s">
        <v>322</v>
      </c>
      <c r="B28" s="3" t="s">
        <v>323</v>
      </c>
      <c r="C28" s="3" t="s">
        <v>312</v>
      </c>
      <c r="D28" s="12" t="s">
        <v>258</v>
      </c>
      <c r="E28" s="3" t="s">
        <v>324</v>
      </c>
    </row>
    <row r="29" customFormat="false" ht="31.5" hidden="false" customHeight="true" outlineLevel="0" collapsed="false">
      <c r="A29" s="3" t="s">
        <v>325</v>
      </c>
      <c r="B29" s="3" t="s">
        <v>323</v>
      </c>
      <c r="C29" s="3" t="s">
        <v>312</v>
      </c>
      <c r="D29" s="12" t="s">
        <v>258</v>
      </c>
      <c r="E29" s="3" t="s">
        <v>326</v>
      </c>
    </row>
    <row r="30" customFormat="false" ht="31.5" hidden="false" customHeight="true" outlineLevel="0" collapsed="false">
      <c r="A30" s="3" t="s">
        <v>327</v>
      </c>
      <c r="B30" s="3" t="s">
        <v>323</v>
      </c>
      <c r="C30" s="3" t="s">
        <v>312</v>
      </c>
      <c r="D30" s="12" t="s">
        <v>258</v>
      </c>
      <c r="E30" s="3"/>
    </row>
    <row r="31" customFormat="false" ht="31.5" hidden="false" customHeight="true" outlineLevel="0" collapsed="false">
      <c r="A31" s="3" t="s">
        <v>328</v>
      </c>
      <c r="B31" s="3" t="s">
        <v>323</v>
      </c>
      <c r="C31" s="3" t="s">
        <v>312</v>
      </c>
      <c r="D31" s="12" t="s">
        <v>258</v>
      </c>
      <c r="E31" s="3"/>
    </row>
    <row r="32" customFormat="false" ht="31.5" hidden="false" customHeight="true" outlineLevel="0" collapsed="false">
      <c r="A32" s="3" t="s">
        <v>329</v>
      </c>
      <c r="B32" s="3" t="s">
        <v>330</v>
      </c>
      <c r="C32" s="3" t="s">
        <v>331</v>
      </c>
      <c r="D32" s="12" t="s">
        <v>258</v>
      </c>
      <c r="E32" s="3" t="s">
        <v>332</v>
      </c>
    </row>
    <row r="33" customFormat="false" ht="31.5" hidden="false" customHeight="true" outlineLevel="0" collapsed="false">
      <c r="A33" s="3" t="s">
        <v>333</v>
      </c>
      <c r="B33" s="3" t="s">
        <v>334</v>
      </c>
      <c r="C33" s="3" t="s">
        <v>335</v>
      </c>
      <c r="D33" s="11" t="s">
        <v>317</v>
      </c>
      <c r="E33" s="3" t="s">
        <v>336</v>
      </c>
    </row>
    <row r="34" customFormat="false" ht="31.5" hidden="false" customHeight="true" outlineLevel="0" collapsed="false">
      <c r="A34" s="3" t="s">
        <v>337</v>
      </c>
      <c r="B34" s="3" t="s">
        <v>301</v>
      </c>
      <c r="C34" s="3" t="s">
        <v>338</v>
      </c>
      <c r="D34" s="12" t="s">
        <v>258</v>
      </c>
      <c r="E34" s="3"/>
    </row>
    <row r="35" customFormat="false" ht="31.5" hidden="false" customHeight="true" outlineLevel="0" collapsed="false">
      <c r="A35" s="3" t="s">
        <v>339</v>
      </c>
      <c r="B35" s="3" t="s">
        <v>301</v>
      </c>
      <c r="C35" s="3" t="s">
        <v>340</v>
      </c>
      <c r="D35" s="12" t="s">
        <v>258</v>
      </c>
      <c r="E35" s="3"/>
    </row>
    <row r="36" customFormat="false" ht="31.5" hidden="false" customHeight="true" outlineLevel="0" collapsed="false">
      <c r="A36" s="3" t="s">
        <v>341</v>
      </c>
      <c r="B36" s="3" t="s">
        <v>342</v>
      </c>
      <c r="C36" s="3" t="s">
        <v>343</v>
      </c>
      <c r="D36" s="11" t="s">
        <v>344</v>
      </c>
      <c r="E36" s="3"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6"/>
  </cols>
  <sheetData>
    <row r="1" customFormat="false" ht="15" hidden="false" customHeight="false" outlineLevel="0" collapsed="false">
      <c r="A1" s="9" t="s">
        <v>346</v>
      </c>
      <c r="B1" s="13" t="s">
        <v>347</v>
      </c>
    </row>
    <row r="2" customFormat="false" ht="15" hidden="false" customHeight="false" outlineLevel="0" collapsed="false">
      <c r="A2" s="9" t="s">
        <v>348</v>
      </c>
      <c r="B2" s="13" t="s">
        <v>349</v>
      </c>
    </row>
    <row r="3" customFormat="false" ht="23.85" hidden="false" customHeight="false" outlineLevel="0" collapsed="false">
      <c r="A3" s="9" t="s">
        <v>350</v>
      </c>
      <c r="B3" s="13" t="s">
        <v>351</v>
      </c>
    </row>
    <row r="4" customFormat="false" ht="15" hidden="false" customHeight="false" outlineLevel="0" collapsed="false">
      <c r="A4" s="9" t="s">
        <v>352</v>
      </c>
      <c r="B4" s="13" t="s">
        <v>353</v>
      </c>
    </row>
    <row r="5" customFormat="false" ht="15" hidden="false" customHeight="false" outlineLevel="0" collapsed="false">
      <c r="A5" s="9" t="s">
        <v>354</v>
      </c>
      <c r="B5" s="13" t="s">
        <v>355</v>
      </c>
    </row>
    <row r="6" customFormat="false" ht="15" hidden="false" customHeight="false" outlineLevel="0" collapsed="false">
      <c r="A6" s="9" t="s">
        <v>356</v>
      </c>
      <c r="B6" s="13" t="s">
        <v>357</v>
      </c>
    </row>
    <row r="7" customFormat="false" ht="15" hidden="false" customHeight="false" outlineLevel="0" collapsed="false">
      <c r="A7" s="9" t="s">
        <v>358</v>
      </c>
      <c r="B7" s="13" t="s">
        <v>359</v>
      </c>
    </row>
    <row r="8" customFormat="false" ht="15" hidden="false" customHeight="false" outlineLevel="0" collapsed="false">
      <c r="A8" s="9" t="s">
        <v>360</v>
      </c>
      <c r="B8" s="13" t="s">
        <v>361</v>
      </c>
    </row>
    <row r="9" customFormat="false" ht="15" hidden="false" customHeight="false" outlineLevel="0" collapsed="false">
      <c r="A9" s="9"/>
      <c r="B9" s="13"/>
    </row>
    <row r="10" customFormat="false" ht="15" hidden="false" customHeight="false" outlineLevel="0" collapsed="false">
      <c r="A10" s="9" t="s">
        <v>362</v>
      </c>
      <c r="B10" s="13" t="s">
        <v>363</v>
      </c>
    </row>
    <row r="11" customFormat="false" ht="15" hidden="false" customHeight="false" outlineLevel="0" collapsed="false">
      <c r="A11" s="9" t="s">
        <v>364</v>
      </c>
      <c r="B11" s="13" t="s">
        <v>365</v>
      </c>
    </row>
    <row r="12" customFormat="false" ht="15" hidden="false" customHeight="false" outlineLevel="0" collapsed="false">
      <c r="A12" s="9" t="s">
        <v>366</v>
      </c>
      <c r="B12" s="13" t="s">
        <v>367</v>
      </c>
    </row>
    <row r="13" customFormat="false" ht="15" hidden="false" customHeight="false" outlineLevel="0" collapsed="false">
      <c r="A13" s="9" t="s">
        <v>368</v>
      </c>
      <c r="B13" s="13" t="s">
        <v>369</v>
      </c>
    </row>
    <row r="14" customFormat="false" ht="15" hidden="false" customHeight="false" outlineLevel="0" collapsed="false">
      <c r="A14" s="9"/>
      <c r="B14" s="13"/>
    </row>
    <row r="15" customFormat="false" ht="15" hidden="false" customHeight="false" outlineLevel="0" collapsed="false">
      <c r="A15" s="9" t="s">
        <v>370</v>
      </c>
      <c r="B15" s="14" t="s">
        <v>371</v>
      </c>
    </row>
    <row r="16" customFormat="false" ht="15" hidden="false" customHeight="false" outlineLevel="0" collapsed="false">
      <c r="A16" s="9" t="s">
        <v>372</v>
      </c>
      <c r="B16" s="14" t="s">
        <v>373</v>
      </c>
    </row>
    <row r="17" customFormat="false" ht="15" hidden="false" customHeight="false" outlineLevel="0" collapsed="false">
      <c r="A17" s="9"/>
      <c r="B17" s="13"/>
    </row>
    <row r="18" customFormat="false" ht="109.5" hidden="false" customHeight="true" outlineLevel="0" collapsed="false">
      <c r="A18" s="9" t="s">
        <v>374</v>
      </c>
      <c r="B18" s="13" t="s">
        <v>375</v>
      </c>
    </row>
    <row r="19" customFormat="false" ht="48" hidden="false" customHeight="true" outlineLevel="0" collapsed="false">
      <c r="A19" s="9" t="s">
        <v>376</v>
      </c>
      <c r="B19" s="13" t="s">
        <v>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6"/>
  </cols>
  <sheetData>
    <row r="1" customFormat="false" ht="63.75" hidden="false" customHeight="true" outlineLevel="0" collapsed="false">
      <c r="A1" s="9" t="s">
        <v>378</v>
      </c>
      <c r="B1" s="13" t="s">
        <v>379</v>
      </c>
    </row>
    <row r="2" customFormat="false" ht="63.75" hidden="false" customHeight="true" outlineLevel="0" collapsed="false">
      <c r="A2" s="9" t="s">
        <v>380</v>
      </c>
      <c r="B2" s="13" t="s">
        <v>381</v>
      </c>
    </row>
    <row r="3" customFormat="false" ht="63.75" hidden="false" customHeight="true" outlineLevel="0" collapsed="false">
      <c r="A3" s="9" t="s">
        <v>382</v>
      </c>
      <c r="B3" s="13" t="s">
        <v>383</v>
      </c>
    </row>
    <row r="4" customFormat="false" ht="63.75" hidden="false" customHeight="true" outlineLevel="0" collapsed="false">
      <c r="A4" s="9" t="s">
        <v>384</v>
      </c>
      <c r="B4" s="13" t="s">
        <v>385</v>
      </c>
    </row>
    <row r="5" customFormat="false" ht="63.75" hidden="false" customHeight="true" outlineLevel="0" collapsed="false">
      <c r="A5" s="9" t="s">
        <v>386</v>
      </c>
      <c r="B5" s="13" t="s">
        <v>387</v>
      </c>
    </row>
    <row r="6" customFormat="false" ht="63.75" hidden="false" customHeight="true" outlineLevel="0" collapsed="false">
      <c r="A6" s="9" t="s">
        <v>388</v>
      </c>
      <c r="B6" s="13" t="s">
        <v>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2026-08-01T05:08:11Z</dcterms:created>
  <dc:creator>openpyxl</dc:creator>
  <dc:description/>
  <dc:language>en-US</dc:language>
  <cp:lastModifiedBy/>
  <dcterms:modified xsi:type="dcterms:W3CDTF">2026-08-01T05:08:11Z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